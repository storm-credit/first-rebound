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36a6c685a248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366e1f9bc1784d4c"/>
    <x:sheet xmlns:r="http://schemas.openxmlformats.org/officeDocument/2006/relationships" name="Game Ledger" sheetId="2" r:id="Rac03984f160d43c6"/>
    <x:sheet xmlns:r="http://schemas.openxmlformats.org/officeDocument/2006/relationships" name="Season Minutes" sheetId="3" r:id="Ra5b04d9f3a924551"/>
    <x:sheet xmlns:r="http://schemas.openxmlformats.org/officeDocument/2006/relationships" name="2018 Draft Board" sheetId="4" r:id="R3e5d45d21e1545b1"/>
    <x:sheet xmlns:r="http://schemas.openxmlformats.org/officeDocument/2006/relationships" name="Spurs Impact" sheetId="5" r:id="R60f9cfc284d9453b"/>
    <x:sheet xmlns:r="http://schemas.openxmlformats.org/officeDocument/2006/relationships" name="Draft Bridge" sheetId="6" r:id="Ra11d836a74e4428d"/>
    <x:sheet xmlns:r="http://schemas.openxmlformats.org/officeDocument/2006/relationships" name="Gate Audit" sheetId="7" r:id="Rc70dc5e77334451b"/>
    <x:sheet xmlns:r="http://schemas.openxmlformats.org/officeDocument/2006/relationships" name="Sources" sheetId="8" r:id="R342fc8719a2a44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"/>
    <x:numFmt numFmtId="202" formatCode="0.0"/>
    <x:numFmt numFmtId="203" formatCode="0.0%"/>
  </x:numFmts>
  <x:fonts count="13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223B"/>
      <x:name val="Carlito"/>
    </x:font>
    <x:font>
      <x:b/>
      <x:sz val="11"/>
      <x:color rgb="FFFFFFFF"/>
      <x:name val="Carlito"/>
    </x:font>
    <x:font>
      <x:b/>
      <x:sz val="18"/>
      <x:color rgb="FFFFFFFF"/>
      <x:name val="Aptos"/>
    </x:font>
    <x:font>
      <x:sz val="11"/>
      <x:name val="Aptos"/>
    </x:font>
    <x:font>
      <x:b/>
      <x:sz val="11"/>
      <x:color rgb="FF17223B"/>
      <x:name val="Aptos"/>
    </x:font>
    <x:font>
      <x:b/>
      <x:sz val="11"/>
      <x:color rgb="FFFFFFFF"/>
      <x:name val="Aptos"/>
    </x:font>
    <x:font>
      <x:i/>
      <x:sz val="11"/>
      <x:color rgb="FF667085"/>
      <x:name val="Carlito"/>
    </x:font>
    <x:font>
      <x:b/>
      <x:sz val="9"/>
      <x:color rgb="FFFFFFFF"/>
      <x:name val="Aptos"/>
    </x:font>
    <x:font>
      <x:sz val="9"/>
      <x:name val="Aptos"/>
    </x:font>
    <x:font>
      <x:b/>
      <x:sz val="9"/>
      <x:color rgb="FF17223B"/>
      <x:name val="Aptos"/>
    </x:font>
    <x:font>
      <x:b/>
      <x:sz val="11"/>
      <x:color rgb="FFB42318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223B"/>
      </x:patternFill>
    </x:fill>
    <x:fill>
      <x:patternFill patternType="solid">
        <x:fgColor rgb="FFEAF0FF"/>
      </x:patternFill>
    </x:fill>
    <x:fill>
      <x:patternFill patternType="solid">
        <x:fgColor rgb="FF2D5BFF"/>
      </x:patternFill>
    </x:fill>
    <x:fill>
      <x:patternFill patternType="solid">
        <x:fgColor rgb="FFE8F5E9"/>
      </x:patternFill>
    </x:fill>
    <x:fill>
      <x:patternFill patternType="solid">
        <x:fgColor rgb="FFFFF4CE"/>
      </x:patternFill>
    </x:fill>
    <x:fill>
      <x:patternFill patternType="solid">
        <x:fgColor rgb="FFF2F4F7"/>
      </x:patternFill>
    </x:fill>
    <x:fill>
      <x:patternFill patternType="solid">
        <x:fgColor rgb="FFFFFFFF"/>
      </x:patternFill>
    </x:fill>
    <x:fill>
      <x:patternFill patternType="solid">
        <x:fgColor rgb="FFFDECEC"/>
      </x:patternFill>
    </x:fill>
  </x:fills>
  <x:borders count="3">
    <x:border/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E4E7EC"/>
      </x:left>
      <x:right style="thin">
        <x:color rgb="FFE4E7EC"/>
      </x:right>
      <x:top style="thin">
        <x:color rgb="FFE4E7EC"/>
      </x:top>
      <x:bottom style="thin">
        <x:color rgb="FFE4E7EC"/>
      </x:bottom>
    </x:border>
  </x:borders>
  <x:cellStyleXfs count="1">
    <x:xf numFmtId="0" fontId="0" fillId="0" borderId="0"/>
  </x:cellStyleXfs>
  <x:cellXfs count="6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6" fillId="3" borderId="1" xfId="0" applyNumberFormat="1" applyFont="1" applyFill="1" applyBorder="1"/>
    <x:xf numFmtId="0" fontId="7" fillId="4" borderId="1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/>
    </x:xf>
    <x:xf numFmtId="0" fontId="5" fillId="5" borderId="1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201" fontId="0" fillId="0" borderId="2" xfId="0" applyNumberFormat="1" applyFont="1" applyFill="1" applyBorder="1"/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8" borderId="2" xfId="0" applyNumberFormat="1" applyFont="1" applyFill="1" applyBorder="1"/>
    <x:xf numFmtId="200" fontId="0" fillId="8" borderId="2" xfId="0" applyNumberFormat="1" applyFont="1" applyFill="1" applyBorder="1"/>
    <x:xf numFmtId="201" fontId="0" fillId="8" borderId="2" xfId="0" applyNumberFormat="1" applyFont="1" applyFill="1" applyBorder="1"/>
    <x:xf numFmtId="0" fontId="0" fillId="6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6" borderId="2" xfId="0" applyNumberFormat="1" applyFont="1" applyFill="1" applyBorder="1"/>
    <x:xf numFmtId="0" fontId="0" fillId="7" borderId="2" xfId="0" applyNumberFormat="1" applyFont="1" applyFill="1" applyBorder="1"/>
    <x:xf numFmtId="0" fontId="9" fillId="4" borderId="1" xfId="0" applyNumberFormat="1" applyFont="1" applyFill="1" applyBorder="1" applyAlignment="1">
      <x:alignment vertical="center" wrapText="1"/>
    </x:xf>
    <x:xf numFmtId="0" fontId="10" fillId="8" borderId="2" xfId="0" applyNumberFormat="1" applyFont="1" applyFill="1" applyBorder="1"/>
    <x:xf numFmtId="200" fontId="10" fillId="8" borderId="2" xfId="0" applyNumberFormat="1" applyFont="1" applyFill="1" applyBorder="1"/>
    <x:xf numFmtId="201" fontId="10" fillId="8" borderId="2" xfId="0" applyNumberFormat="1" applyFont="1" applyFill="1" applyBorder="1"/>
    <x:xf numFmtId="0" fontId="10" fillId="6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" fillId="6" borderId="2" xfId="0" applyNumberFormat="1" applyFont="1" applyFill="1" applyBorder="1"/>
    <x:xf numFmtId="0" fontId="10" fillId="7" borderId="2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2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vertical="center"/>
    </x:xf>
    <x:xf numFmtId="0" fontId="11" fillId="3" borderId="1" xfId="0" applyNumberFormat="1" applyFont="1" applyFill="1" applyBorder="1"/>
    <x:xf numFmtId="0" fontId="10" fillId="0" borderId="0" xfId="0" applyNumberFormat="1" applyFont="1" applyFill="1" applyBorder="1"/>
    <x:xf numFmtId="0" fontId="10" fillId="0" borderId="1" xfId="0" applyNumberFormat="1" applyFont="1" applyFill="1" applyBorder="1" applyAlignment="1">
      <x:alignment vertical="center"/>
    </x:xf>
    <x:xf numFmtId="200" fontId="10" fillId="0" borderId="1" xfId="0" applyNumberFormat="1" applyFont="1" applyFill="1" applyBorder="1" applyAlignment="1">
      <x:alignment vertical="center"/>
    </x:xf>
    <x:xf numFmtId="0" fontId="10" fillId="6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12" fillId="9" borderId="0" xfId="0" applyNumberFormat="1" applyFont="1" applyFill="1" applyBorder="1"/>
    <x:xf numFmtId="0" fontId="12" fillId="9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253b3cbb4d4fc6" /><Relationship Type="http://schemas.openxmlformats.org/officeDocument/2006/relationships/theme" Target="/xl/theme/theme1.xml" Id="R62786bccf519453b" /><Relationship Type="http://schemas.microsoft.com/office/2022/11/relationships/FeaturePropertyBag" Target="/xl/featurePropertyBag/featurePropertyBag.xml" Id="R1001575de5364d3a" /><Relationship Type="http://schemas.openxmlformats.org/officeDocument/2006/relationships/sharedStrings" Target="/xl/sharedStrings.xml" Id="R3854b54a437d4fb8" /><Relationship Type="http://schemas.openxmlformats.org/officeDocument/2006/relationships/worksheet" Target="/xl/worksheets/sheet1.xml" Id="R366e1f9bc1784d4c" /><Relationship Type="http://schemas.openxmlformats.org/officeDocument/2006/relationships/worksheet" Target="/xl/worksheets/sheet2.xml" Id="Rac03984f160d43c6" /><Relationship Type="http://schemas.openxmlformats.org/officeDocument/2006/relationships/worksheet" Target="/xl/worksheets/sheet3.xml" Id="Ra5b04d9f3a924551" /><Relationship Type="http://schemas.openxmlformats.org/officeDocument/2006/relationships/worksheet" Target="/xl/worksheets/sheet4.xml" Id="R3e5d45d21e1545b1" /><Relationship Type="http://schemas.openxmlformats.org/officeDocument/2006/relationships/worksheet" Target="/xl/worksheets/sheet5.xml" Id="R60f9cfc284d9453b" /><Relationship Type="http://schemas.openxmlformats.org/officeDocument/2006/relationships/worksheet" Target="/xl/worksheets/sheet6.xml" Id="Ra11d836a74e4428d" /><Relationship Type="http://schemas.openxmlformats.org/officeDocument/2006/relationships/worksheet" Target="/xl/worksheets/sheet7.xml" Id="Rc70dc5e77334451b" /><Relationship Type="http://schemas.openxmlformats.org/officeDocument/2006/relationships/worksheet" Target="/xl/worksheets/sheet8.xml" Id="R342fc8719a2a447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GameLedgerTable" displayName="GameLedgerTable" ref="A5:Y87" headerRowCount="1" totalsRowCount="0" totalsRowShown="0">
  <x:tableColumns count="25">
    <x:tableColumn id="1" name="Game"/>
    <x:tableColumn id="2" name="Date"/>
    <x:tableColumn id="3" name="Site"/>
    <x:tableColumn id="4" name="Opponent"/>
    <x:tableColumn id="5" name="Actual"/>
    <x:tableColumn id="6" name="ATL Pts"/>
    <x:tableColumn id="7" name="Opp Pts"/>
    <x:tableColumn id="8" name="Margin"/>
    <x:tableColumn id="9" name="OT periods"/>
    <x:tableColumn id="10" name="Team min"/>
    <x:tableColumn id="11" name="Cum W"/>
    <x:tableColumn id="12" name="Cum L"/>
    <x:tableColumn id="13" name="Rest days"/>
    <x:tableColumn id="14" name="B2B"/>
    <x:tableColumn id="15" name="Contact"/>
    <x:tableColumn id="16" name="Story selected"/>
    <x:tableColumn id="17" name="Protagonist status"/>
    <x:tableColumn id="18" name="Protagonist min"/>
    <x:tableColumn id="19" name="Spellman donor"/>
    <x:tableColumn id="20" name="Other donor"/>
    <x:tableColumn id="21" name="Minute check"/>
    <x:tableColumn id="22" name="Outcome status"/>
    <x:tableColumn id="23" name="CF result"/>
    <x:tableColumn id="24" name="Downstream"/>
    <x:tableColumn id="25" name="Source I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easonMinutesTable" displayName="SeasonMinutesTable" ref="A5:L27" headerRowCount="1" totalsRowCount="0" totalsRowShown="0">
  <x:tableColumns count="12">
    <x:tableColumn id="1" name="Player"/>
    <x:tableColumn id="2" name="Pos"/>
    <x:tableColumn id="3" name="GP"/>
    <x:tableColumn id="4" name="GS"/>
    <x:tableColumn id="5" name="Minutes"/>
    <x:tableColumn id="6" name="MPG"/>
    <x:tableColumn id="7" name="Pool"/>
    <x:tableColumn id="8" name="Max removable"/>
    <x:tableColumn id="9" name="Allocated to protagonist"/>
    <x:tableColumn id="10" name="Post-CF minutes"/>
    <x:tableColumn id="11" name="Delta check"/>
    <x:tableColumn id="12" name="Source I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raftBoardTable" displayName="DraftBoardTable" ref="A6:K37" headerRowCount="1" totalsRowCount="0" totalsRowShown="0">
  <x:tableColumns count="11">
    <x:tableColumn id="1" name="Pick"/>
    <x:tableColumn id="2" name="Actual destination"/>
    <x:tableColumn id="3" name="Actual player"/>
    <x:tableColumn id="4" name="Actual trade/path"/>
    <x:tableColumn id="5" name="CF destination"/>
    <x:tableColumn id="6" name="CF player"/>
    <x:tableColumn id="7" name="Status"/>
    <x:tableColumn id="8" name="Incoming displaced"/>
    <x:tableColumn id="9" name="Decision reason"/>
    <x:tableColumn id="10" name="Downstream"/>
    <x:tableColumn id="11" name="Source I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pursAssignmentTable" displayName="SpursAssignmentTable" ref="A15:H34" headerRowCount="1" totalsRowCount="0" totalsRowShown="0">
  <x:tableColumns count="8">
    <x:tableColumn id="1" name="Window"/>
    <x:tableColumn id="2" name="Assign date"/>
    <x:tableColumn id="3" name="Recall date"/>
    <x:tableColumn id="4" name="Calendar days"/>
    <x:tableColumn id="5" name="Entry"/>
    <x:tableColumn id="6" name="Exit"/>
    <x:tableColumn id="7" name="Contract/status"/>
    <x:tableColumn id="8" name="Source I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ourceTable" displayName="SourceTable" ref="A4:D31" headerRowCount="1" totalsRowCount="0" totalsRowShown="0">
  <x:tableColumns count="4">
    <x:tableColumn id="1" name="ID"/>
    <x:tableColumn id="2" name="Source"/>
    <x:tableColumn id="3" name="Use"/>
    <x:tableColumn id="4" name="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0e1b02e502342a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edad3bb7357419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23b2dbd43ef428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78b9e048593400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31c25f5cf78044f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4" hidden="0" customWidth="1"/>
    <x:col min="3" max="3" width="18" hidden="0" customWidth="1"/>
    <x:col min="4" max="4" width="18" hidden="0" customWidth="1"/>
    <x:col min="5" max="5" width="24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2" customHeight="1">
      <x:c r="A1" s="18" t="str">
        <x:v>ATLANTA 2018-19 — CAUSALITY LEDGER / DRAFT BOARD v0.3</x:v>
      </x:c>
      <x:c r="B1" s="19"/>
      <x:c r="C1" s="19"/>
      <x:c r="D1" s="19"/>
      <x:c r="E1" s="19"/>
      <x:c r="F1" s="19"/>
      <x:c r="G1" s="19"/>
      <x:c r="H1" s="19"/>
    </x:row>
    <x:row r="2">
      <x:c r="A2" s="19"/>
      <x:c r="B2" s="19"/>
      <x:c r="C2" s="19"/>
      <x:c r="D2" s="19"/>
      <x:c r="E2" s="19"/>
      <x:c r="F2" s="19"/>
      <x:c r="G2" s="19"/>
      <x:c r="H2" s="19"/>
    </x:row>
    <x:row r="3">
      <x:c r="A3" s="19"/>
      <x:c r="B3" s="19"/>
      <x:c r="C3" s="19"/>
      <x:c r="D3" s="19"/>
      <x:c r="E3" s="19"/>
      <x:c r="F3" s="19"/>
      <x:c r="G3" s="19"/>
      <x:c r="H3" s="19"/>
    </x:row>
    <x:row r="4">
      <x:c r="A4" s="20" t="str">
        <x:v>Status</x:v>
      </x:c>
      <x:c r="B4" s="20" t="str">
        <x:v>SECOND_TEAM_BASELINE_PASS / OUTCOME_HOLD</x:v>
      </x:c>
      <x:c r="C4" s="20" t="str">
        <x:v>Canon</x:v>
      </x:c>
      <x:c r="D4" s="20" t="str">
        <x:v>PROVISIONAL</x:v>
      </x:c>
      <x:c r="E4" s="20" t="str">
        <x:v>Manuscript</x:v>
      </x:c>
      <x:c r="F4" s="20" t="str">
        <x:v>BLOCKED</x:v>
      </x:c>
      <x:c r="G4" s="20" t="str">
        <x:v>Built</x:v>
      </x:c>
      <x:c r="H4" s="20" t="str">
        <x:v>2026-08-29</x:v>
      </x:c>
    </x:row>
    <x:row r="5">
      <x:c r="A5" s="19"/>
      <x:c r="B5" s="19"/>
      <x:c r="C5" s="19"/>
      <x:c r="D5" s="19"/>
      <x:c r="E5" s="19"/>
      <x:c r="F5" s="19"/>
      <x:c r="G5" s="19"/>
      <x:c r="H5" s="19"/>
    </x:row>
    <x:row r="6">
      <x:c r="A6" s="21" t="str">
        <x:v>Verified baseline</x:v>
      </x:c>
      <x:c r="B6" s="21" t="str">
        <x:v>Value</x:v>
      </x:c>
      <x:c r="C6" s="21" t="str">
        <x:v>Expected</x:v>
      </x:c>
      <x:c r="D6" s="21" t="str">
        <x:v>Check</x:v>
      </x:c>
      <x:c r="E6" s="21" t="str">
        <x:v>Simulation guardrail</x:v>
      </x:c>
      <x:c r="F6" s="21" t="str">
        <x:v>Low</x:v>
      </x:c>
      <x:c r="G6" s="21" t="str">
        <x:v>High</x:v>
      </x:c>
      <x:c r="H6" s="21" t="str">
        <x:v>Check</x:v>
      </x:c>
    </x:row>
    <x:row r="7">
      <x:c r="A7" s="22" t="str">
        <x:v>Regular-season games</x:v>
      </x:c>
      <x:c r="B7" s="22" t="n">
        <x:f>COUNTA('Game Ledger'!$A$6:$A$87)</x:f>
        <x:v>82</x:v>
      </x:c>
      <x:c r="C7" s="22" t="n">
        <x:v>82</x:v>
      </x:c>
      <x:c r="D7" s="23" t="str">
        <x:f>IF(B7=C7,"PASS","FAIL")</x:f>
        <x:v>PASS</x:v>
      </x:c>
      <x:c r="E7" s="22" t="str">
        <x:v>NBA games</x:v>
      </x:c>
      <x:c r="F7" s="22" t="n">
        <x:v>42</x:v>
      </x:c>
      <x:c r="G7" s="22" t="n">
        <x:v>46</x:v>
      </x:c>
      <x:c r="H7" s="23" t="str">
        <x:f>IF(AND(F7&gt;=38,G7&lt;=50),"PASS","FAIL")</x:f>
        <x:v>PASS</x:v>
      </x:c>
    </x:row>
    <x:row r="8">
      <x:c r="A8" s="22" t="str">
        <x:v>Actual wins</x:v>
      </x:c>
      <x:c r="B8" s="22" t="n">
        <x:f>COUNTIF('Game Ledger'!$E$6:$E$87,"W")</x:f>
        <x:v>29</x:v>
      </x:c>
      <x:c r="C8" s="22" t="n">
        <x:v>29</x:v>
      </x:c>
      <x:c r="D8" s="23" t="str">
        <x:f>IF(B8=C8,"PASS","FAIL")</x:f>
        <x:v>PASS</x:v>
      </x:c>
      <x:c r="E8" s="22" t="str">
        <x:v>NBA MPG</x:v>
      </x:c>
      <x:c r="F8" s="22" t="n">
        <x:v>14</x:v>
      </x:c>
      <x:c r="G8" s="22" t="n">
        <x:v>16</x:v>
      </x:c>
      <x:c r="H8" s="23" t="str">
        <x:f>IF(AND(F8&gt;=10,G8&lt;=16),"PASS","FAIL")</x:f>
        <x:v>PASS</x:v>
      </x:c>
    </x:row>
    <x:row r="9">
      <x:c r="A9" s="22" t="str">
        <x:v>Actual losses</x:v>
      </x:c>
      <x:c r="B9" s="22" t="n">
        <x:f>COUNTIF('Game Ledger'!$E$6:$E$87,"L")</x:f>
        <x:v>53</x:v>
      </x:c>
      <x:c r="C9" s="22" t="n">
        <x:v>53</x:v>
      </x:c>
      <x:c r="D9" s="23" t="str">
        <x:f>IF(B9=C9,"PASS","FAIL")</x:f>
        <x:v>PASS</x:v>
      </x:c>
      <x:c r="E9" s="22" t="str">
        <x:v>NBA total minutes</x:v>
      </x:c>
      <x:c r="F9" s="22" t="n">
        <x:v>588</x:v>
      </x:c>
      <x:c r="G9" s="22" t="n">
        <x:v>736</x:v>
      </x:c>
      <x:c r="H9" s="23" t="str">
        <x:f>IF(G9&lt;=G10,"PASS","FAIL")</x:f>
        <x:v>PASS</x:v>
      </x:c>
    </x:row>
    <x:row r="10">
      <x:c r="A10" s="22" t="str">
        <x:v>Atlanta points</x:v>
      </x:c>
      <x:c r="B10" s="22" t="n">
        <x:f>SUM('Game Ledger'!$F$6:$F$87)</x:f>
        <x:v>9294</x:v>
      </x:c>
      <x:c r="C10" s="22" t="n">
        <x:v>9294</x:v>
      </x:c>
      <x:c r="D10" s="23" t="str">
        <x:f>IF(B10=C10,"PASS","FAIL")</x:f>
        <x:v>PASS</x:v>
      </x:c>
      <x:c r="E10" s="22" t="str">
        <x:v>Spellman slot cap</x:v>
      </x:c>
      <x:c r="F10" s="22" t="n">
        <x:v>0</x:v>
      </x:c>
      <x:c r="G10" s="22" t="n">
        <x:v>805</x:v>
      </x:c>
      <x:c r="H10" s="23" t="str">
        <x:f>IF(G10=805,"CAP","CHECK")</x:f>
        <x:v>CAP</x:v>
      </x:c>
    </x:row>
    <x:row r="11">
      <x:c r="A11" s="22" t="str">
        <x:v>Game capacity minutes</x:v>
      </x:c>
      <x:c r="B11" s="22" t="n">
        <x:f>SUM('Game Ledger'!$J$6:$J$87)</x:f>
        <x:v>19855</x:v>
      </x:c>
      <x:c r="C11" s="22" t="n">
        <x:v>19855</x:v>
      </x:c>
      <x:c r="D11" s="23" t="str">
        <x:f>IF(B11=C11,"PASS","FAIL")</x:f>
        <x:v>PASS</x:v>
      </x:c>
      <x:c r="E11" s="22" t="str">
        <x:v>Erie games</x:v>
      </x:c>
      <x:c r="F11" s="22" t="n">
        <x:v>4</x:v>
      </x:c>
      <x:c r="G11" s="22" t="n">
        <x:v>10</x:v>
      </x:c>
      <x:c r="H11" s="23" t="str">
        <x:f>IF(AND(F11&gt;=4,G11&lt;=10),"PASS","FAIL")</x:f>
        <x:v>PASS</x:v>
      </x:c>
    </x:row>
    <x:row r="12">
      <x:c r="A12" s="22" t="str">
        <x:v>Published roster minutes</x:v>
      </x:c>
      <x:c r="B12" s="22" t="n">
        <x:f>SUM('Season Minutes'!$E$6:$E$27)</x:f>
        <x:v>19853</x:v>
      </x:c>
      <x:c r="C12" s="22" t="n">
        <x:v>19853</x:v>
      </x:c>
      <x:c r="D12" s="23" t="str">
        <x:f>IF(ABS(B12-C12)&lt;=2,"PASS (rounding)","FAIL")</x:f>
        <x:v>PASS (rounding)</x:v>
      </x:c>
      <x:c r="E12" s="22" t="str">
        <x:v>Protected core</x:v>
      </x:c>
      <x:c r="F12" s="22" t="str">
        <x:v>Young/Huerter/Collins</x:v>
      </x:c>
      <x:c r="G12" s="22" t="str">
        <x:v>Same</x:v>
      </x:c>
      <x:c r="H12" s="23" t="str">
        <x:f>"LOCK"</x:f>
        <x:v>LOCK</x:v>
      </x:c>
    </x:row>
    <x:row r="13">
      <x:c r="A13" s="19"/>
      <x:c r="B13" s="19"/>
      <x:c r="C13" s="19"/>
      <x:c r="D13" s="19"/>
      <x:c r="E13" s="19"/>
      <x:c r="F13" s="19"/>
      <x:c r="G13" s="19"/>
      <x:c r="H13" s="19"/>
    </x:row>
    <x:row r="14">
      <x:c r="A14" s="20" t="str">
        <x:v>Decision boundary</x:v>
      </x:c>
      <x:c r="B14" s="20"/>
      <x:c r="C14" s="20"/>
      <x:c r="D14" s="20"/>
      <x:c r="E14" s="20"/>
      <x:c r="F14" s="20"/>
      <x:c r="G14" s="20"/>
      <x:c r="H14" s="20"/>
    </x:row>
    <x:row r="15">
      <x:c r="A15" s="22" t="str">
        <x:v>1</x:v>
      </x:c>
      <x:c r="B15" s="22" t="str">
        <x:v>All 82 games and the actual 29-53 record are immutable baseline data.</x:v>
      </x:c>
      <x:c r="C15" s="22"/>
      <x:c r="D15" s="22"/>
      <x:c r="E15" s="22"/>
      <x:c r="F15" s="22"/>
      <x:c r="G15" s="22"/>
      <x:c r="H15" s="22"/>
    </x:row>
    <x:row r="16">
      <x:c r="A16" s="22" t="str">
        <x:v>2</x:v>
      </x:c>
      <x:c r="B16" s="22" t="str">
        <x:v>Every game has at least ROSTER contact because the #30 replacement removes Spellman from Atlanta, even when the protagonist is inactive.</x:v>
      </x:c>
      <x:c r="C16" s="22"/>
      <x:c r="D16" s="22"/>
      <x:c r="E16" s="22"/>
      <x:c r="F16" s="22"/>
      <x:c r="G16" s="22"/>
      <x:c r="H16" s="22"/>
    </x:row>
    <x:row r="17">
      <x:c r="A17" s="22" t="str">
        <x:v>3</x:v>
      </x:c>
      <x:c r="B17" s="22" t="str">
        <x:v>Allocate protagonist minutes inside Spellman's 805-minute cap first. Do not auto-allocate before date-specific availability is verified.</x:v>
      </x:c>
      <x:c r="C17" s="22"/>
      <x:c r="D17" s="22"/>
      <x:c r="E17" s="22"/>
      <x:c r="F17" s="22"/>
      <x:c r="G17" s="22"/>
      <x:c r="H17" s="22"/>
    </x:row>
    <x:row r="18">
      <x:c r="A18" s="22" t="str">
        <x:v>4</x:v>
      </x:c>
      <x:c r="B18" s="22" t="str">
        <x:v>Spellman's San Antonio #49 baseline role is closed at Metu's low-leverage slot. Any minutes above 145.4 need a dated donor; competitive stints trigger outcome review.</x:v>
      </x:c>
      <x:c r="C18" s="22"/>
      <x:c r="D18" s="22"/>
      <x:c r="E18" s="22"/>
      <x:c r="F18" s="22"/>
      <x:c r="G18" s="22"/>
      <x:c r="H18" s="22"/>
    </x:row>
    <x:row r="19">
      <x:c r="A19" s="22" t="str">
        <x:v>5</x:v>
      </x:c>
      <x:c r="B19" s="22" t="str">
        <x:v>No counterfactual scores or results have been generated. Manual flips and close-game cherry-picking are prohibited.</x:v>
      </x:c>
      <x:c r="C19" s="22"/>
      <x:c r="D19" s="22"/>
      <x:c r="E19" s="22"/>
      <x:c r="F19" s="22"/>
      <x:c r="G19" s="22"/>
      <x:c r="H19" s="22"/>
    </x:row>
    <x:row r="20">
      <x:c r="A20" s="19"/>
      <x:c r="B20" s="19"/>
      <x:c r="C20" s="19"/>
      <x:c r="D20" s="19"/>
      <x:c r="E20" s="19"/>
      <x:c r="F20" s="19"/>
      <x:c r="G20" s="19"/>
      <x:c r="H20" s="19"/>
    </x:row>
    <x:row r="21" ht="34" customHeight="1">
      <x:c r="A21" s="24" t="str">
        <x:v>NEXT: game-level availability → donor vector → preregistered pB/impact → fixed-hash outcome → opponent W/L → standings → lottery</x:v>
      </x:c>
      <x:c r="B21" s="19"/>
      <x:c r="C21" s="19"/>
      <x:c r="D21" s="19"/>
      <x:c r="E21" s="19"/>
      <x:c r="F21" s="19"/>
      <x:c r="G21" s="19"/>
      <x:c r="H21" s="19"/>
    </x:row>
  </x:sheetData>
  <x:mergeCells>
    <x:mergeCell ref="A1:H2"/>
    <x:mergeCell ref="A14:H14"/>
    <x:mergeCell ref="B15:H15"/>
    <x:mergeCell ref="B16:H16"/>
    <x:mergeCell ref="B17:H17"/>
    <x:mergeCell ref="B18:H18"/>
    <x:mergeCell ref="B19:H19"/>
    <x:mergeCell ref="A21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4" max="4" width="22" hidden="0" customWidth="1"/>
    <x:col min="2" max="2" width="12" hidden="0" customWidth="1"/>
    <x:col min="15" max="15" width="12" hidden="0" customWidth="1"/>
    <x:col min="17" max="17" width="13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1" max="1" width="7" hidden="0" customWidth="1"/>
    <x:col min="3" max="3" width="7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6" max="16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</x:cols>
  <x:sheetData>
    <x:row r="1" ht="32" customHeight="1">
      <x:c r="A1" s="3" t="str">
        <x:v>82-GAME IMMUTABLE BASELINE + COUNTERFACTUAL CONTROL FIELDS</x:v>
      </x:c>
    </x:row>
    <x:row r="3">
      <x:c r="A3" s="26" t="str">
        <x:v>Blue = official baseline · Yellow = future inputs · Gray = formula/control fields · All counterfactual outcomes remain HOLD</x:v>
      </x:c>
    </x:row>
    <x:row r="5">
      <x:c r="A5" s="40" t="str">
        <x:v>Game</x:v>
      </x:c>
      <x:c r="B5" s="40" t="str">
        <x:v>Date</x:v>
      </x:c>
      <x:c r="C5" s="40" t="str">
        <x:v>Site</x:v>
      </x:c>
      <x:c r="D5" s="40" t="str">
        <x:v>Opponent</x:v>
      </x:c>
      <x:c r="E5" s="40" t="str">
        <x:v>Actual</x:v>
      </x:c>
      <x:c r="F5" s="40" t="str">
        <x:v>ATL Pts</x:v>
      </x:c>
      <x:c r="G5" s="40" t="str">
        <x:v>Opp Pts</x:v>
      </x:c>
      <x:c r="H5" s="40" t="str">
        <x:v>Margin</x:v>
      </x:c>
      <x:c r="I5" s="40" t="str">
        <x:v>OT periods</x:v>
      </x:c>
      <x:c r="J5" s="40" t="str">
        <x:v>Team min</x:v>
      </x:c>
      <x:c r="K5" s="40" t="str">
        <x:v>Cum W</x:v>
      </x:c>
      <x:c r="L5" s="40" t="str">
        <x:v>Cum L</x:v>
      </x:c>
      <x:c r="M5" s="40" t="str">
        <x:v>Rest days</x:v>
      </x:c>
      <x:c r="N5" s="40" t="str">
        <x:v>B2B</x:v>
      </x:c>
      <x:c r="O5" s="40" t="str">
        <x:v>Contact</x:v>
      </x:c>
      <x:c r="P5" s="40" t="str">
        <x:v>Story selected</x:v>
      </x:c>
      <x:c r="Q5" s="40" t="str">
        <x:v>Protagonist status</x:v>
      </x:c>
      <x:c r="R5" s="40" t="str">
        <x:v>Protagonist min</x:v>
      </x:c>
      <x:c r="S5" s="40" t="str">
        <x:v>Spellman donor</x:v>
      </x:c>
      <x:c r="T5" s="40" t="str">
        <x:v>Other donor</x:v>
      </x:c>
      <x:c r="U5" s="40" t="str">
        <x:v>Minute check</x:v>
      </x:c>
      <x:c r="V5" s="40" t="str">
        <x:v>Outcome status</x:v>
      </x:c>
      <x:c r="W5" s="40" t="str">
        <x:v>CF result</x:v>
      </x:c>
      <x:c r="X5" s="40" t="str">
        <x:v>Downstream</x:v>
      </x:c>
      <x:c r="Y5" s="40" t="str">
        <x:v>Source ID</x:v>
      </x:c>
    </x:row>
    <x:row r="6">
      <x:c r="A6" s="41" t="n">
        <x:v>1</x:v>
      </x:c>
      <x:c r="B6" s="42" t="n">
        <x:v>43390.5</x:v>
      </x:c>
      <x:c r="C6" s="41" t="str">
        <x:v>A</x:v>
      </x:c>
      <x:c r="D6" s="41" t="str">
        <x:v>New York Knicks</x:v>
      </x:c>
      <x:c r="E6" s="41" t="str">
        <x:v>L</x:v>
      </x:c>
      <x:c r="F6" s="41" t="n">
        <x:v>107</x:v>
      </x:c>
      <x:c r="G6" s="41" t="n">
        <x:v>126</x:v>
      </x:c>
      <x:c r="H6" s="41" t="n">
        <x:f>F6-G6</x:f>
        <x:v>-19</x:v>
      </x:c>
      <x:c r="I6" s="41" t="n">
        <x:v>0</x:v>
      </x:c>
      <x:c r="J6" s="41" t="n">
        <x:f>240+25*I6</x:f>
        <x:v>240</x:v>
      </x:c>
      <x:c r="K6" s="41" t="n">
        <x:f>IF(E6="W",1,0)</x:f>
        <x:v>0</x:v>
      </x:c>
      <x:c r="L6" s="41" t="n">
        <x:f>IF(E6="L",1,0)</x:f>
        <x:v>1</x:v>
      </x:c>
      <x:c r="M6" s="43" t="str">
        <x:f>""</x:f>
      </x:c>
      <x:c r="N6" s="41" t="b">
        <x:f>FALSE</x:f>
        <x:v>0</x:v>
      </x:c>
      <x:c r="O6" s="41" t="str">
        <x:v>ROSTER</x:v>
      </x:c>
      <x:c r="P6" s="44" t="b">
        <x:v>0</x:v>
      </x:c>
      <x:c r="Q6" s="45" t="str">
        <x:v>HOLD</x:v>
      </x:c>
      <x:c r="R6" s="45" t="n">
        <x:v>0</x:v>
      </x:c>
      <x:c r="S6" s="45" t="n">
        <x:v>0</x:v>
      </x:c>
      <x:c r="T6" s="45" t="n">
        <x:v>0</x:v>
      </x:c>
      <x:c r="U6" s="46" t="n">
        <x:f>R6-S6-T6</x:f>
        <x:v>0</x:v>
      </x:c>
      <x:c r="V6" s="46" t="str">
        <x:v>HOLD</x:v>
      </x:c>
      <x:c r="W6" s="46" t="str">
        <x:v>HOLD</x:v>
      </x:c>
      <x:c r="X6" s="46" t="str">
        <x:v>PENDING</x:v>
      </x:c>
      <x:c r="Y6" s="46" t="str">
        <x:v>S01/S02/S03</x:v>
      </x:c>
    </x:row>
    <x:row r="7">
      <x:c r="A7" s="41" t="n">
        <x:v>2</x:v>
      </x:c>
      <x:c r="B7" s="42" t="n">
        <x:v>43392.5</x:v>
      </x:c>
      <x:c r="C7" s="41" t="str">
        <x:v>A</x:v>
      </x:c>
      <x:c r="D7" s="41" t="str">
        <x:v>Memphis Grizzlies</x:v>
      </x:c>
      <x:c r="E7" s="41" t="str">
        <x:v>L</x:v>
      </x:c>
      <x:c r="F7" s="41" t="n">
        <x:v>117</x:v>
      </x:c>
      <x:c r="G7" s="41" t="n">
        <x:v>131</x:v>
      </x:c>
      <x:c r="H7" s="41" t="n">
        <x:f>F7-G7</x:f>
        <x:v>-14</x:v>
      </x:c>
      <x:c r="I7" s="41" t="n">
        <x:v>0</x:v>
      </x:c>
      <x:c r="J7" s="41" t="n">
        <x:f>240+25*I7</x:f>
        <x:v>240</x:v>
      </x:c>
      <x:c r="K7" s="41" t="n">
        <x:f>K6+IF(E7="W",1,0)</x:f>
        <x:v>0</x:v>
      </x:c>
      <x:c r="L7" s="41" t="n">
        <x:f>L6+IF(E7="L",1,0)</x:f>
        <x:v>2</x:v>
      </x:c>
      <x:c r="M7" s="43" t="n">
        <x:f>B7-B6-1</x:f>
        <x:v>1</x:v>
      </x:c>
      <x:c r="N7" s="41" t="b">
        <x:f>M7=0</x:f>
        <x:v>0</x:v>
      </x:c>
      <x:c r="O7" s="41" t="str">
        <x:v>ROSTER</x:v>
      </x:c>
      <x:c r="P7" s="44" t="b">
        <x:v>0</x:v>
      </x:c>
      <x:c r="Q7" s="45" t="str">
        <x:v>HOLD</x:v>
      </x:c>
      <x:c r="R7" s="45" t="n">
        <x:v>0</x:v>
      </x:c>
      <x:c r="S7" s="45" t="n">
        <x:v>0</x:v>
      </x:c>
      <x:c r="T7" s="45" t="n">
        <x:v>0</x:v>
      </x:c>
      <x:c r="U7" s="46" t="n">
        <x:f>R7-S7-T7</x:f>
        <x:v>0</x:v>
      </x:c>
      <x:c r="V7" s="46" t="str">
        <x:v>HOLD</x:v>
      </x:c>
      <x:c r="W7" s="46" t="str">
        <x:v>HOLD</x:v>
      </x:c>
      <x:c r="X7" s="46" t="str">
        <x:v>PENDING</x:v>
      </x:c>
      <x:c r="Y7" s="46" t="str">
        <x:v>S01/S02/S03</x:v>
      </x:c>
    </x:row>
    <x:row r="8">
      <x:c r="A8" s="41" t="n">
        <x:v>3</x:v>
      </x:c>
      <x:c r="B8" s="42" t="n">
        <x:v>43394.5</x:v>
      </x:c>
      <x:c r="C8" s="41" t="str">
        <x:v>A</x:v>
      </x:c>
      <x:c r="D8" s="41" t="str">
        <x:v>Cleveland Cavaliers</x:v>
      </x:c>
      <x:c r="E8" s="41" t="str">
        <x:v>W</x:v>
      </x:c>
      <x:c r="F8" s="41" t="n">
        <x:v>133</x:v>
      </x:c>
      <x:c r="G8" s="41" t="n">
        <x:v>111</x:v>
      </x:c>
      <x:c r="H8" s="41" t="n">
        <x:f>F8-G8</x:f>
        <x:v>22</x:v>
      </x:c>
      <x:c r="I8" s="41" t="n">
        <x:v>0</x:v>
      </x:c>
      <x:c r="J8" s="41" t="n">
        <x:f>240+25*I8</x:f>
        <x:v>240</x:v>
      </x:c>
      <x:c r="K8" s="41" t="n">
        <x:f>K7+IF(E8="W",1,0)</x:f>
        <x:v>1</x:v>
      </x:c>
      <x:c r="L8" s="41" t="n">
        <x:f>L7+IF(E8="L",1,0)</x:f>
        <x:v>2</x:v>
      </x:c>
      <x:c r="M8" s="43" t="n">
        <x:f>B8-B7-1</x:f>
        <x:v>1</x:v>
      </x:c>
      <x:c r="N8" s="41" t="b">
        <x:f>M8=0</x:f>
        <x:v>0</x:v>
      </x:c>
      <x:c r="O8" s="41" t="str">
        <x:v>ROSTER</x:v>
      </x:c>
      <x:c r="P8" s="44" t="b">
        <x:v>0</x:v>
      </x:c>
      <x:c r="Q8" s="45" t="str">
        <x:v>HOLD</x:v>
      </x:c>
      <x:c r="R8" s="45" t="n">
        <x:v>0</x:v>
      </x:c>
      <x:c r="S8" s="45" t="n">
        <x:v>0</x:v>
      </x:c>
      <x:c r="T8" s="45" t="n">
        <x:v>0</x:v>
      </x:c>
      <x:c r="U8" s="46" t="n">
        <x:f>R8-S8-T8</x:f>
        <x:v>0</x:v>
      </x:c>
      <x:c r="V8" s="46" t="str">
        <x:v>HOLD</x:v>
      </x:c>
      <x:c r="W8" s="46" t="str">
        <x:v>HOLD</x:v>
      </x:c>
      <x:c r="X8" s="46" t="str">
        <x:v>PENDING</x:v>
      </x:c>
      <x:c r="Y8" s="46" t="str">
        <x:v>S01/S02/S03</x:v>
      </x:c>
    </x:row>
    <x:row r="9">
      <x:c r="A9" s="41" t="n">
        <x:v>4</x:v>
      </x:c>
      <x:c r="B9" s="42" t="n">
        <x:v>43397.5</x:v>
      </x:c>
      <x:c r="C9" s="41" t="str">
        <x:v>H</x:v>
      </x:c>
      <x:c r="D9" s="41" t="str">
        <x:v>Dallas Mavericks</x:v>
      </x:c>
      <x:c r="E9" s="41" t="str">
        <x:v>W</x:v>
      </x:c>
      <x:c r="F9" s="41" t="n">
        <x:v>111</x:v>
      </x:c>
      <x:c r="G9" s="41" t="n">
        <x:v>104</x:v>
      </x:c>
      <x:c r="H9" s="41" t="n">
        <x:f>F9-G9</x:f>
        <x:v>7</x:v>
      </x:c>
      <x:c r="I9" s="41" t="n">
        <x:v>0</x:v>
      </x:c>
      <x:c r="J9" s="41" t="n">
        <x:f>240+25*I9</x:f>
        <x:v>240</x:v>
      </x:c>
      <x:c r="K9" s="41" t="n">
        <x:f>K8+IF(E9="W",1,0)</x:f>
        <x:v>2</x:v>
      </x:c>
      <x:c r="L9" s="41" t="n">
        <x:f>L8+IF(E9="L",1,0)</x:f>
        <x:v>2</x:v>
      </x:c>
      <x:c r="M9" s="43" t="n">
        <x:f>B9-B8-1</x:f>
        <x:v>2</x:v>
      </x:c>
      <x:c r="N9" s="41" t="b">
        <x:f>M9=0</x:f>
        <x:v>0</x:v>
      </x:c>
      <x:c r="O9" s="41" t="str">
        <x:v>ROSTER</x:v>
      </x:c>
      <x:c r="P9" s="44" t="b">
        <x:v>0</x:v>
      </x:c>
      <x:c r="Q9" s="45" t="str">
        <x:v>HOLD</x:v>
      </x:c>
      <x:c r="R9" s="45" t="n">
        <x:v>0</x:v>
      </x:c>
      <x:c r="S9" s="45" t="n">
        <x:v>0</x:v>
      </x:c>
      <x:c r="T9" s="45" t="n">
        <x:v>0</x:v>
      </x:c>
      <x:c r="U9" s="46" t="n">
        <x:f>R9-S9-T9</x:f>
        <x:v>0</x:v>
      </x:c>
      <x:c r="V9" s="46" t="str">
        <x:v>HOLD</x:v>
      </x:c>
      <x:c r="W9" s="46" t="str">
        <x:v>HOLD</x:v>
      </x:c>
      <x:c r="X9" s="46" t="str">
        <x:v>PENDING</x:v>
      </x:c>
      <x:c r="Y9" s="46" t="str">
        <x:v>S01/S02/S03</x:v>
      </x:c>
    </x:row>
    <x:row r="10">
      <x:c r="A10" s="41" t="n">
        <x:v>5</x:v>
      </x:c>
      <x:c r="B10" s="42" t="n">
        <x:v>43400.5</x:v>
      </x:c>
      <x:c r="C10" s="41" t="str">
        <x:v>H</x:v>
      </x:c>
      <x:c r="D10" s="41" t="str">
        <x:v>Chicago Bulls</x:v>
      </x:c>
      <x:c r="E10" s="41" t="str">
        <x:v>L</x:v>
      </x:c>
      <x:c r="F10" s="41" t="n">
        <x:v>85</x:v>
      </x:c>
      <x:c r="G10" s="41" t="n">
        <x:v>97</x:v>
      </x:c>
      <x:c r="H10" s="41" t="n">
        <x:f>F10-G10</x:f>
        <x:v>-12</x:v>
      </x:c>
      <x:c r="I10" s="41" t="n">
        <x:v>0</x:v>
      </x:c>
      <x:c r="J10" s="41" t="n">
        <x:f>240+25*I10</x:f>
        <x:v>240</x:v>
      </x:c>
      <x:c r="K10" s="41" t="n">
        <x:f>K9+IF(E10="W",1,0)</x:f>
        <x:v>2</x:v>
      </x:c>
      <x:c r="L10" s="41" t="n">
        <x:f>L9+IF(E10="L",1,0)</x:f>
        <x:v>3</x:v>
      </x:c>
      <x:c r="M10" s="43" t="n">
        <x:f>B10-B9-1</x:f>
        <x:v>2</x:v>
      </x:c>
      <x:c r="N10" s="41" t="b">
        <x:f>M10=0</x:f>
        <x:v>0</x:v>
      </x:c>
      <x:c r="O10" s="41" t="str">
        <x:v>ROSTER</x:v>
      </x:c>
      <x:c r="P10" s="44" t="b">
        <x:v>0</x:v>
      </x:c>
      <x:c r="Q10" s="45" t="str">
        <x:v>HOLD</x:v>
      </x:c>
      <x:c r="R10" s="45" t="n">
        <x:v>0</x:v>
      </x:c>
      <x:c r="S10" s="45" t="n">
        <x:v>0</x:v>
      </x:c>
      <x:c r="T10" s="45" t="n">
        <x:v>0</x:v>
      </x:c>
      <x:c r="U10" s="46" t="n">
        <x:f>R10-S10-T10</x:f>
        <x:v>0</x:v>
      </x:c>
      <x:c r="V10" s="46" t="str">
        <x:v>HOLD</x:v>
      </x:c>
      <x:c r="W10" s="46" t="str">
        <x:v>HOLD</x:v>
      </x:c>
      <x:c r="X10" s="46" t="str">
        <x:v>PENDING</x:v>
      </x:c>
      <x:c r="Y10" s="46" t="str">
        <x:v>S01/S02/S03</x:v>
      </x:c>
    </x:row>
    <x:row r="11">
      <x:c r="A11" s="41" t="n">
        <x:v>6</x:v>
      </x:c>
      <x:c r="B11" s="42" t="n">
        <x:v>43402.5</x:v>
      </x:c>
      <x:c r="C11" s="41" t="str">
        <x:v>A</x:v>
      </x:c>
      <x:c r="D11" s="41" t="str">
        <x:v>Philadelphia 76ers</x:v>
      </x:c>
      <x:c r="E11" s="41" t="str">
        <x:v>L</x:v>
      </x:c>
      <x:c r="F11" s="41" t="n">
        <x:v>92</x:v>
      </x:c>
      <x:c r="G11" s="41" t="n">
        <x:v>113</x:v>
      </x:c>
      <x:c r="H11" s="41" t="n">
        <x:f>F11-G11</x:f>
        <x:v>-21</x:v>
      </x:c>
      <x:c r="I11" s="41" t="n">
        <x:v>0</x:v>
      </x:c>
      <x:c r="J11" s="41" t="n">
        <x:f>240+25*I11</x:f>
        <x:v>240</x:v>
      </x:c>
      <x:c r="K11" s="41" t="n">
        <x:f>K10+IF(E11="W",1,0)</x:f>
        <x:v>2</x:v>
      </x:c>
      <x:c r="L11" s="41" t="n">
        <x:f>L10+IF(E11="L",1,0)</x:f>
        <x:v>4</x:v>
      </x:c>
      <x:c r="M11" s="43" t="n">
        <x:f>B11-B10-1</x:f>
        <x:v>1</x:v>
      </x:c>
      <x:c r="N11" s="41" t="b">
        <x:f>M11=0</x:f>
        <x:v>0</x:v>
      </x:c>
      <x:c r="O11" s="41" t="str">
        <x:v>ROSTER</x:v>
      </x:c>
      <x:c r="P11" s="44" t="b">
        <x:v>0</x:v>
      </x:c>
      <x:c r="Q11" s="45" t="str">
        <x:v>HOLD</x:v>
      </x:c>
      <x:c r="R11" s="45" t="n">
        <x:v>0</x:v>
      </x:c>
      <x:c r="S11" s="45" t="n">
        <x:v>0</x:v>
      </x:c>
      <x:c r="T11" s="45" t="n">
        <x:v>0</x:v>
      </x:c>
      <x:c r="U11" s="46" t="n">
        <x:f>R11-S11-T11</x:f>
        <x:v>0</x:v>
      </x:c>
      <x:c r="V11" s="46" t="str">
        <x:v>HOLD</x:v>
      </x:c>
      <x:c r="W11" s="46" t="str">
        <x:v>HOLD</x:v>
      </x:c>
      <x:c r="X11" s="46" t="str">
        <x:v>PENDING</x:v>
      </x:c>
      <x:c r="Y11" s="46" t="str">
        <x:v>S01/S02/S03</x:v>
      </x:c>
    </x:row>
    <x:row r="12">
      <x:c r="A12" s="41" t="n">
        <x:v>7</x:v>
      </x:c>
      <x:c r="B12" s="42" t="n">
        <x:v>43403.5</x:v>
      </x:c>
      <x:c r="C12" s="41" t="str">
        <x:v>A</x:v>
      </x:c>
      <x:c r="D12" s="41" t="str">
        <x:v>Cleveland Cavaliers</x:v>
      </x:c>
      <x:c r="E12" s="41" t="str">
        <x:v>L</x:v>
      </x:c>
      <x:c r="F12" s="41" t="n">
        <x:v>114</x:v>
      </x:c>
      <x:c r="G12" s="41" t="n">
        <x:v>136</x:v>
      </x:c>
      <x:c r="H12" s="41" t="n">
        <x:f>F12-G12</x:f>
        <x:v>-22</x:v>
      </x:c>
      <x:c r="I12" s="41" t="n">
        <x:v>0</x:v>
      </x:c>
      <x:c r="J12" s="41" t="n">
        <x:f>240+25*I12</x:f>
        <x:v>240</x:v>
      </x:c>
      <x:c r="K12" s="41" t="n">
        <x:f>K11+IF(E12="W",1,0)</x:f>
        <x:v>2</x:v>
      </x:c>
      <x:c r="L12" s="41" t="n">
        <x:f>L11+IF(E12="L",1,0)</x:f>
        <x:v>5</x:v>
      </x:c>
      <x:c r="M12" s="43" t="n">
        <x:f>B12-B11-1</x:f>
        <x:v>0</x:v>
      </x:c>
      <x:c r="N12" s="41" t="b">
        <x:f>M12=0</x:f>
        <x:v>1</x:v>
      </x:c>
      <x:c r="O12" s="41" t="str">
        <x:v>ROSTER</x:v>
      </x:c>
      <x:c r="P12" s="44" t="b">
        <x:v>0</x:v>
      </x:c>
      <x:c r="Q12" s="45" t="str">
        <x:v>HOLD</x:v>
      </x:c>
      <x:c r="R12" s="45" t="n">
        <x:v>0</x:v>
      </x:c>
      <x:c r="S12" s="45" t="n">
        <x:v>0</x:v>
      </x:c>
      <x:c r="T12" s="45" t="n">
        <x:v>0</x:v>
      </x:c>
      <x:c r="U12" s="46" t="n">
        <x:f>R12-S12-T12</x:f>
        <x:v>0</x:v>
      </x:c>
      <x:c r="V12" s="46" t="str">
        <x:v>HOLD</x:v>
      </x:c>
      <x:c r="W12" s="46" t="str">
        <x:v>HOLD</x:v>
      </x:c>
      <x:c r="X12" s="46" t="str">
        <x:v>PENDING</x:v>
      </x:c>
      <x:c r="Y12" s="46" t="str">
        <x:v>S01/S02/S03</x:v>
      </x:c>
    </x:row>
    <x:row r="13">
      <x:c r="A13" s="41" t="n">
        <x:v>8</x:v>
      </x:c>
      <x:c r="B13" s="42" t="n">
        <x:v>43405.5</x:v>
      </x:c>
      <x:c r="C13" s="41" t="str">
        <x:v>H</x:v>
      </x:c>
      <x:c r="D13" s="41" t="str">
        <x:v>Sacramento Kings</x:v>
      </x:c>
      <x:c r="E13" s="41" t="str">
        <x:v>L</x:v>
      </x:c>
      <x:c r="F13" s="41" t="n">
        <x:v>115</x:v>
      </x:c>
      <x:c r="G13" s="41" t="n">
        <x:v>146</x:v>
      </x:c>
      <x:c r="H13" s="41" t="n">
        <x:f>F13-G13</x:f>
        <x:v>-31</x:v>
      </x:c>
      <x:c r="I13" s="41" t="n">
        <x:v>0</x:v>
      </x:c>
      <x:c r="J13" s="41" t="n">
        <x:f>240+25*I13</x:f>
        <x:v>240</x:v>
      </x:c>
      <x:c r="K13" s="41" t="n">
        <x:f>K12+IF(E13="W",1,0)</x:f>
        <x:v>2</x:v>
      </x:c>
      <x:c r="L13" s="41" t="n">
        <x:f>L12+IF(E13="L",1,0)</x:f>
        <x:v>6</x:v>
      </x:c>
      <x:c r="M13" s="43" t="n">
        <x:f>B13-B12-1</x:f>
        <x:v>1</x:v>
      </x:c>
      <x:c r="N13" s="41" t="b">
        <x:f>M13=0</x:f>
        <x:v>0</x:v>
      </x:c>
      <x:c r="O13" s="41" t="str">
        <x:v>ROSTER</x:v>
      </x:c>
      <x:c r="P13" s="44" t="b">
        <x:v>0</x:v>
      </x:c>
      <x:c r="Q13" s="45" t="str">
        <x:v>HOLD</x:v>
      </x:c>
      <x:c r="R13" s="45" t="n">
        <x:v>0</x:v>
      </x:c>
      <x:c r="S13" s="45" t="n">
        <x:v>0</x:v>
      </x:c>
      <x:c r="T13" s="45" t="n">
        <x:v>0</x:v>
      </x:c>
      <x:c r="U13" s="46" t="n">
        <x:f>R13-S13-T13</x:f>
        <x:v>0</x:v>
      </x:c>
      <x:c r="V13" s="46" t="str">
        <x:v>HOLD</x:v>
      </x:c>
      <x:c r="W13" s="46" t="str">
        <x:v>HOLD</x:v>
      </x:c>
      <x:c r="X13" s="46" t="str">
        <x:v>PENDING</x:v>
      </x:c>
      <x:c r="Y13" s="46" t="str">
        <x:v>S01/S02/S03</x:v>
      </x:c>
    </x:row>
    <x:row r="14">
      <x:c r="A14" s="41" t="n">
        <x:v>9</x:v>
      </x:c>
      <x:c r="B14" s="42" t="n">
        <x:v>43407.5</x:v>
      </x:c>
      <x:c r="C14" s="41" t="str">
        <x:v>H</x:v>
      </x:c>
      <x:c r="D14" s="41" t="str">
        <x:v>Miami Heat</x:v>
      </x:c>
      <x:c r="E14" s="41" t="str">
        <x:v>W</x:v>
      </x:c>
      <x:c r="F14" s="41" t="n">
        <x:v>123</x:v>
      </x:c>
      <x:c r="G14" s="41" t="n">
        <x:v>118</x:v>
      </x:c>
      <x:c r="H14" s="41" t="n">
        <x:f>F14-G14</x:f>
        <x:v>5</x:v>
      </x:c>
      <x:c r="I14" s="41" t="n">
        <x:v>0</x:v>
      </x:c>
      <x:c r="J14" s="41" t="n">
        <x:f>240+25*I14</x:f>
        <x:v>240</x:v>
      </x:c>
      <x:c r="K14" s="41" t="n">
        <x:f>K13+IF(E14="W",1,0)</x:f>
        <x:v>3</x:v>
      </x:c>
      <x:c r="L14" s="41" t="n">
        <x:f>L13+IF(E14="L",1,0)</x:f>
        <x:v>6</x:v>
      </x:c>
      <x:c r="M14" s="43" t="n">
        <x:f>B14-B13-1</x:f>
        <x:v>1</x:v>
      </x:c>
      <x:c r="N14" s="41" t="b">
        <x:f>M14=0</x:f>
        <x:v>0</x:v>
      </x:c>
      <x:c r="O14" s="41" t="str">
        <x:v>ROSTER</x:v>
      </x:c>
      <x:c r="P14" s="44" t="b">
        <x:v>0</x:v>
      </x:c>
      <x:c r="Q14" s="45" t="str">
        <x:v>HOLD</x:v>
      </x:c>
      <x:c r="R14" s="45" t="n">
        <x:v>0</x:v>
      </x:c>
      <x:c r="S14" s="45" t="n">
        <x:v>0</x:v>
      </x:c>
      <x:c r="T14" s="45" t="n">
        <x:v>0</x:v>
      </x:c>
      <x:c r="U14" s="46" t="n">
        <x:f>R14-S14-T14</x:f>
        <x:v>0</x:v>
      </x:c>
      <x:c r="V14" s="46" t="str">
        <x:v>HOLD</x:v>
      </x:c>
      <x:c r="W14" s="46" t="str">
        <x:v>HOLD</x:v>
      </x:c>
      <x:c r="X14" s="46" t="str">
        <x:v>PENDING</x:v>
      </x:c>
      <x:c r="Y14" s="46" t="str">
        <x:v>S01/S02/S03</x:v>
      </x:c>
    </x:row>
    <x:row r="15">
      <x:c r="A15" s="41" t="n">
        <x:v>10</x:v>
      </x:c>
      <x:c r="B15" s="42" t="n">
        <x:v>43410.5</x:v>
      </x:c>
      <x:c r="C15" s="41" t="str">
        <x:v>A</x:v>
      </x:c>
      <x:c r="D15" s="41" t="str">
        <x:v>Charlotte Hornets</x:v>
      </x:c>
      <x:c r="E15" s="41" t="str">
        <x:v>L</x:v>
      </x:c>
      <x:c r="F15" s="41" t="n">
        <x:v>102</x:v>
      </x:c>
      <x:c r="G15" s="41" t="n">
        <x:v>113</x:v>
      </x:c>
      <x:c r="H15" s="41" t="n">
        <x:f>F15-G15</x:f>
        <x:v>-11</x:v>
      </x:c>
      <x:c r="I15" s="41" t="n">
        <x:v>0</x:v>
      </x:c>
      <x:c r="J15" s="41" t="n">
        <x:f>240+25*I15</x:f>
        <x:v>240</x:v>
      </x:c>
      <x:c r="K15" s="41" t="n">
        <x:f>K14+IF(E15="W",1,0)</x:f>
        <x:v>3</x:v>
      </x:c>
      <x:c r="L15" s="41" t="n">
        <x:f>L14+IF(E15="L",1,0)</x:f>
        <x:v>7</x:v>
      </x:c>
      <x:c r="M15" s="43" t="n">
        <x:f>B15-B14-1</x:f>
        <x:v>2</x:v>
      </x:c>
      <x:c r="N15" s="41" t="b">
        <x:f>M15=0</x:f>
        <x:v>0</x:v>
      </x:c>
      <x:c r="O15" s="41" t="str">
        <x:v>ROSTER</x:v>
      </x:c>
      <x:c r="P15" s="44" t="b">
        <x:v>0</x:v>
      </x:c>
      <x:c r="Q15" s="45" t="str">
        <x:v>HOLD</x:v>
      </x:c>
      <x:c r="R15" s="45" t="n">
        <x:v>0</x:v>
      </x:c>
      <x:c r="S15" s="45" t="n">
        <x:v>0</x:v>
      </x:c>
      <x:c r="T15" s="45" t="n">
        <x:v>0</x:v>
      </x:c>
      <x:c r="U15" s="46" t="n">
        <x:f>R15-S15-T15</x:f>
        <x:v>0</x:v>
      </x:c>
      <x:c r="V15" s="46" t="str">
        <x:v>HOLD</x:v>
      </x:c>
      <x:c r="W15" s="46" t="str">
        <x:v>HOLD</x:v>
      </x:c>
      <x:c r="X15" s="46" t="str">
        <x:v>PENDING</x:v>
      </x:c>
      <x:c r="Y15" s="46" t="str">
        <x:v>S01/S02/S03</x:v>
      </x:c>
    </x:row>
    <x:row r="16">
      <x:c r="A16" s="41" t="n">
        <x:v>11</x:v>
      </x:c>
      <x:c r="B16" s="42" t="n">
        <x:v>43411.5</x:v>
      </x:c>
      <x:c r="C16" s="41" t="str">
        <x:v>H</x:v>
      </x:c>
      <x:c r="D16" s="41" t="str">
        <x:v>New York Knicks</x:v>
      </x:c>
      <x:c r="E16" s="41" t="str">
        <x:v>L</x:v>
      </x:c>
      <x:c r="F16" s="41" t="n">
        <x:v>107</x:v>
      </x:c>
      <x:c r="G16" s="41" t="n">
        <x:v>112</x:v>
      </x:c>
      <x:c r="H16" s="41" t="n">
        <x:f>F16-G16</x:f>
        <x:v>-5</x:v>
      </x:c>
      <x:c r="I16" s="41" t="n">
        <x:v>0</x:v>
      </x:c>
      <x:c r="J16" s="41" t="n">
        <x:f>240+25*I16</x:f>
        <x:v>240</x:v>
      </x:c>
      <x:c r="K16" s="41" t="n">
        <x:f>K15+IF(E16="W",1,0)</x:f>
        <x:v>3</x:v>
      </x:c>
      <x:c r="L16" s="41" t="n">
        <x:f>L15+IF(E16="L",1,0)</x:f>
        <x:v>8</x:v>
      </x:c>
      <x:c r="M16" s="43" t="n">
        <x:f>B16-B15-1</x:f>
        <x:v>0</x:v>
      </x:c>
      <x:c r="N16" s="41" t="b">
        <x:f>M16=0</x:f>
        <x:v>1</x:v>
      </x:c>
      <x:c r="O16" s="41" t="str">
        <x:v>ROSTER</x:v>
      </x:c>
      <x:c r="P16" s="44" t="b">
        <x:v>0</x:v>
      </x:c>
      <x:c r="Q16" s="45" t="str">
        <x:v>HOLD</x:v>
      </x:c>
      <x:c r="R16" s="45" t="n">
        <x:v>0</x:v>
      </x:c>
      <x:c r="S16" s="45" t="n">
        <x:v>0</x:v>
      </x:c>
      <x:c r="T16" s="45" t="n">
        <x:v>0</x:v>
      </x:c>
      <x:c r="U16" s="46" t="n">
        <x:f>R16-S16-T16</x:f>
        <x:v>0</x:v>
      </x:c>
      <x:c r="V16" s="46" t="str">
        <x:v>HOLD</x:v>
      </x:c>
      <x:c r="W16" s="46" t="str">
        <x:v>HOLD</x:v>
      </x:c>
      <x:c r="X16" s="46" t="str">
        <x:v>PENDING</x:v>
      </x:c>
      <x:c r="Y16" s="46" t="str">
        <x:v>S01/S02/S03</x:v>
      </x:c>
    </x:row>
    <x:row r="17">
      <x:c r="A17" s="41" t="n">
        <x:v>12</x:v>
      </x:c>
      <x:c r="B17" s="42" t="n">
        <x:v>43413.5</x:v>
      </x:c>
      <x:c r="C17" s="41" t="str">
        <x:v>H</x:v>
      </x:c>
      <x:c r="D17" s="41" t="str">
        <x:v>Detroit Pistons</x:v>
      </x:c>
      <x:c r="E17" s="41" t="str">
        <x:v>L</x:v>
      </x:c>
      <x:c r="F17" s="41" t="n">
        <x:v>109</x:v>
      </x:c>
      <x:c r="G17" s="41" t="n">
        <x:v>124</x:v>
      </x:c>
      <x:c r="H17" s="41" t="n">
        <x:f>F17-G17</x:f>
        <x:v>-15</x:v>
      </x:c>
      <x:c r="I17" s="41" t="n">
        <x:v>0</x:v>
      </x:c>
      <x:c r="J17" s="41" t="n">
        <x:f>240+25*I17</x:f>
        <x:v>240</x:v>
      </x:c>
      <x:c r="K17" s="41" t="n">
        <x:f>K16+IF(E17="W",1,0)</x:f>
        <x:v>3</x:v>
      </x:c>
      <x:c r="L17" s="41" t="n">
        <x:f>L16+IF(E17="L",1,0)</x:f>
        <x:v>9</x:v>
      </x:c>
      <x:c r="M17" s="43" t="n">
        <x:f>B17-B16-1</x:f>
        <x:v>1</x:v>
      </x:c>
      <x:c r="N17" s="41" t="b">
        <x:f>M17=0</x:f>
        <x:v>0</x:v>
      </x:c>
      <x:c r="O17" s="41" t="str">
        <x:v>ROSTER</x:v>
      </x:c>
      <x:c r="P17" s="44" t="b">
        <x:v>0</x:v>
      </x:c>
      <x:c r="Q17" s="45" t="str">
        <x:v>HOLD</x:v>
      </x:c>
      <x:c r="R17" s="45" t="n">
        <x:v>0</x:v>
      </x:c>
      <x:c r="S17" s="45" t="n">
        <x:v>0</x:v>
      </x:c>
      <x:c r="T17" s="45" t="n">
        <x:v>0</x:v>
      </x:c>
      <x:c r="U17" s="46" t="n">
        <x:f>R17-S17-T17</x:f>
        <x:v>0</x:v>
      </x:c>
      <x:c r="V17" s="46" t="str">
        <x:v>HOLD</x:v>
      </x:c>
      <x:c r="W17" s="46" t="str">
        <x:v>HOLD</x:v>
      </x:c>
      <x:c r="X17" s="46" t="str">
        <x:v>PENDING</x:v>
      </x:c>
      <x:c r="Y17" s="46" t="str">
        <x:v>S01/S02/S03</x:v>
      </x:c>
    </x:row>
    <x:row r="18">
      <x:c r="A18" s="41" t="n">
        <x:v>13</x:v>
      </x:c>
      <x:c r="B18" s="42" t="n">
        <x:v>43415.5</x:v>
      </x:c>
      <x:c r="C18" s="41" t="str">
        <x:v>A</x:v>
      </x:c>
      <x:c r="D18" s="41" t="str">
        <x:v>Los Angeles Lakers</x:v>
      </x:c>
      <x:c r="E18" s="41" t="str">
        <x:v>L</x:v>
      </x:c>
      <x:c r="F18" s="41" t="n">
        <x:v>106</x:v>
      </x:c>
      <x:c r="G18" s="41" t="n">
        <x:v>107</x:v>
      </x:c>
      <x:c r="H18" s="41" t="n">
        <x:f>F18-G18</x:f>
        <x:v>-1</x:v>
      </x:c>
      <x:c r="I18" s="41" t="n">
        <x:v>0</x:v>
      </x:c>
      <x:c r="J18" s="41" t="n">
        <x:f>240+25*I18</x:f>
        <x:v>240</x:v>
      </x:c>
      <x:c r="K18" s="41" t="n">
        <x:f>K17+IF(E18="W",1,0)</x:f>
        <x:v>3</x:v>
      </x:c>
      <x:c r="L18" s="41" t="n">
        <x:f>L17+IF(E18="L",1,0)</x:f>
        <x:v>10</x:v>
      </x:c>
      <x:c r="M18" s="43" t="n">
        <x:f>B18-B17-1</x:f>
        <x:v>1</x:v>
      </x:c>
      <x:c r="N18" s="41" t="b">
        <x:f>M18=0</x:f>
        <x:v>0</x:v>
      </x:c>
      <x:c r="O18" s="41" t="str">
        <x:v>ROSTER</x:v>
      </x:c>
      <x:c r="P18" s="44" t="b">
        <x:v>0</x:v>
      </x:c>
      <x:c r="Q18" s="45" t="str">
        <x:v>HOLD</x:v>
      </x:c>
      <x:c r="R18" s="45" t="n">
        <x:v>0</x:v>
      </x:c>
      <x:c r="S18" s="45" t="n">
        <x:v>0</x:v>
      </x:c>
      <x:c r="T18" s="45" t="n">
        <x:v>0</x:v>
      </x:c>
      <x:c r="U18" s="46" t="n">
        <x:f>R18-S18-T18</x:f>
        <x:v>0</x:v>
      </x:c>
      <x:c r="V18" s="46" t="str">
        <x:v>HOLD</x:v>
      </x:c>
      <x:c r="W18" s="46" t="str">
        <x:v>HOLD</x:v>
      </x:c>
      <x:c r="X18" s="46" t="str">
        <x:v>PENDING</x:v>
      </x:c>
      <x:c r="Y18" s="46" t="str">
        <x:v>S01/S02/S03</x:v>
      </x:c>
    </x:row>
    <x:row r="19">
      <x:c r="A19" s="41" t="n">
        <x:v>14</x:v>
      </x:c>
      <x:c r="B19" s="42" t="n">
        <x:v>43417.5</x:v>
      </x:c>
      <x:c r="C19" s="41" t="str">
        <x:v>A</x:v>
      </x:c>
      <x:c r="D19" s="41" t="str">
        <x:v>Golden State Warriors</x:v>
      </x:c>
      <x:c r="E19" s="41" t="str">
        <x:v>L</x:v>
      </x:c>
      <x:c r="F19" s="41" t="n">
        <x:v>103</x:v>
      </x:c>
      <x:c r="G19" s="41" t="n">
        <x:v>110</x:v>
      </x:c>
      <x:c r="H19" s="41" t="n">
        <x:f>F19-G19</x:f>
        <x:v>-7</x:v>
      </x:c>
      <x:c r="I19" s="41" t="n">
        <x:v>0</x:v>
      </x:c>
      <x:c r="J19" s="41" t="n">
        <x:f>240+25*I19</x:f>
        <x:v>240</x:v>
      </x:c>
      <x:c r="K19" s="41" t="n">
        <x:f>K18+IF(E19="W",1,0)</x:f>
        <x:v>3</x:v>
      </x:c>
      <x:c r="L19" s="41" t="n">
        <x:f>L18+IF(E19="L",1,0)</x:f>
        <x:v>11</x:v>
      </x:c>
      <x:c r="M19" s="43" t="n">
        <x:f>B19-B18-1</x:f>
        <x:v>1</x:v>
      </x:c>
      <x:c r="N19" s="41" t="b">
        <x:f>M19=0</x:f>
        <x:v>0</x:v>
      </x:c>
      <x:c r="O19" s="41" t="str">
        <x:v>ROSTER</x:v>
      </x:c>
      <x:c r="P19" s="44" t="b">
        <x:v>0</x:v>
      </x:c>
      <x:c r="Q19" s="45" t="str">
        <x:v>HOLD</x:v>
      </x:c>
      <x:c r="R19" s="45" t="n">
        <x:v>0</x:v>
      </x:c>
      <x:c r="S19" s="45" t="n">
        <x:v>0</x:v>
      </x:c>
      <x:c r="T19" s="45" t="n">
        <x:v>0</x:v>
      </x:c>
      <x:c r="U19" s="46" t="n">
        <x:f>R19-S19-T19</x:f>
        <x:v>0</x:v>
      </x:c>
      <x:c r="V19" s="46" t="str">
        <x:v>HOLD</x:v>
      </x:c>
      <x:c r="W19" s="46" t="str">
        <x:v>HOLD</x:v>
      </x:c>
      <x:c r="X19" s="46" t="str">
        <x:v>PENDING</x:v>
      </x:c>
      <x:c r="Y19" s="46" t="str">
        <x:v>S01/S02/S03</x:v>
      </x:c>
    </x:row>
    <x:row r="20">
      <x:c r="A20" s="41" t="n">
        <x:v>15</x:v>
      </x:c>
      <x:c r="B20" s="42" t="n">
        <x:v>43419.5</x:v>
      </x:c>
      <x:c r="C20" s="41" t="str">
        <x:v>A</x:v>
      </x:c>
      <x:c r="D20" s="41" t="str">
        <x:v>Denver Nuggets</x:v>
      </x:c>
      <x:c r="E20" s="41" t="str">
        <x:v>L</x:v>
      </x:c>
      <x:c r="F20" s="41" t="n">
        <x:v>93</x:v>
      </x:c>
      <x:c r="G20" s="41" t="n">
        <x:v>138</x:v>
      </x:c>
      <x:c r="H20" s="41" t="n">
        <x:f>F20-G20</x:f>
        <x:v>-45</x:v>
      </x:c>
      <x:c r="I20" s="41" t="n">
        <x:v>0</x:v>
      </x:c>
      <x:c r="J20" s="41" t="n">
        <x:f>240+25*I20</x:f>
        <x:v>240</x:v>
      </x:c>
      <x:c r="K20" s="41" t="n">
        <x:f>K19+IF(E20="W",1,0)</x:f>
        <x:v>3</x:v>
      </x:c>
      <x:c r="L20" s="41" t="n">
        <x:f>L19+IF(E20="L",1,0)</x:f>
        <x:v>12</x:v>
      </x:c>
      <x:c r="M20" s="43" t="n">
        <x:f>B20-B19-1</x:f>
        <x:v>1</x:v>
      </x:c>
      <x:c r="N20" s="41" t="b">
        <x:f>M20=0</x:f>
        <x:v>0</x:v>
      </x:c>
      <x:c r="O20" s="41" t="str">
        <x:v>ROSTER</x:v>
      </x:c>
      <x:c r="P20" s="44" t="b">
        <x:v>0</x:v>
      </x:c>
      <x:c r="Q20" s="45" t="str">
        <x:v>HOLD</x:v>
      </x:c>
      <x:c r="R20" s="45" t="n">
        <x:v>0</x:v>
      </x:c>
      <x:c r="S20" s="45" t="n">
        <x:v>0</x:v>
      </x:c>
      <x:c r="T20" s="45" t="n">
        <x:v>0</x:v>
      </x:c>
      <x:c r="U20" s="46" t="n">
        <x:f>R20-S20-T20</x:f>
        <x:v>0</x:v>
      </x:c>
      <x:c r="V20" s="46" t="str">
        <x:v>HOLD</x:v>
      </x:c>
      <x:c r="W20" s="46" t="str">
        <x:v>HOLD</x:v>
      </x:c>
      <x:c r="X20" s="46" t="str">
        <x:v>PENDING</x:v>
      </x:c>
      <x:c r="Y20" s="46" t="str">
        <x:v>S01/S02/S03</x:v>
      </x:c>
    </x:row>
    <x:row r="21">
      <x:c r="A21" s="41" t="n">
        <x:v>16</x:v>
      </x:c>
      <x:c r="B21" s="42" t="n">
        <x:v>43421.5</x:v>
      </x:c>
      <x:c r="C21" s="41" t="str">
        <x:v>A</x:v>
      </x:c>
      <x:c r="D21" s="41" t="str">
        <x:v>Indiana Pacers</x:v>
      </x:c>
      <x:c r="E21" s="41" t="str">
        <x:v>L</x:v>
      </x:c>
      <x:c r="F21" s="41" t="n">
        <x:v>89</x:v>
      </x:c>
      <x:c r="G21" s="41" t="n">
        <x:v>97</x:v>
      </x:c>
      <x:c r="H21" s="41" t="n">
        <x:f>F21-G21</x:f>
        <x:v>-8</x:v>
      </x:c>
      <x:c r="I21" s="41" t="n">
        <x:v>0</x:v>
      </x:c>
      <x:c r="J21" s="41" t="n">
        <x:f>240+25*I21</x:f>
        <x:v>240</x:v>
      </x:c>
      <x:c r="K21" s="41" t="n">
        <x:f>K20+IF(E21="W",1,0)</x:f>
        <x:v>3</x:v>
      </x:c>
      <x:c r="L21" s="41" t="n">
        <x:f>L20+IF(E21="L",1,0)</x:f>
        <x:v>13</x:v>
      </x:c>
      <x:c r="M21" s="43" t="n">
        <x:f>B21-B20-1</x:f>
        <x:v>1</x:v>
      </x:c>
      <x:c r="N21" s="41" t="b">
        <x:f>M21=0</x:f>
        <x:v>0</x:v>
      </x:c>
      <x:c r="O21" s="41" t="str">
        <x:v>ROSTER</x:v>
      </x:c>
      <x:c r="P21" s="44" t="b">
        <x:v>0</x:v>
      </x:c>
      <x:c r="Q21" s="45" t="str">
        <x:v>HOLD</x:v>
      </x:c>
      <x:c r="R21" s="45" t="n">
        <x:v>0</x:v>
      </x:c>
      <x:c r="S21" s="45" t="n">
        <x:v>0</x:v>
      </x:c>
      <x:c r="T21" s="45" t="n">
        <x:v>0</x:v>
      </x:c>
      <x:c r="U21" s="46" t="n">
        <x:f>R21-S21-T21</x:f>
        <x:v>0</x:v>
      </x:c>
      <x:c r="V21" s="46" t="str">
        <x:v>HOLD</x:v>
      </x:c>
      <x:c r="W21" s="46" t="str">
        <x:v>HOLD</x:v>
      </x:c>
      <x:c r="X21" s="46" t="str">
        <x:v>PENDING</x:v>
      </x:c>
      <x:c r="Y21" s="46" t="str">
        <x:v>S01/S02/S03</x:v>
      </x:c>
    </x:row>
    <x:row r="22">
      <x:c r="A22" s="41" t="n">
        <x:v>17</x:v>
      </x:c>
      <x:c r="B22" s="42" t="n">
        <x:v>43423.5</x:v>
      </x:c>
      <x:c r="C22" s="41" t="str">
        <x:v>H</x:v>
      </x:c>
      <x:c r="D22" s="41" t="str">
        <x:v>Los Angeles Clippers</x:v>
      </x:c>
      <x:c r="E22" s="41" t="str">
        <x:v>L</x:v>
      </x:c>
      <x:c r="F22" s="41" t="n">
        <x:v>119</x:v>
      </x:c>
      <x:c r="G22" s="41" t="n">
        <x:v>127</x:v>
      </x:c>
      <x:c r="H22" s="41" t="n">
        <x:f>F22-G22</x:f>
        <x:v>-8</x:v>
      </x:c>
      <x:c r="I22" s="41" t="n">
        <x:v>0</x:v>
      </x:c>
      <x:c r="J22" s="41" t="n">
        <x:f>240+25*I22</x:f>
        <x:v>240</x:v>
      </x:c>
      <x:c r="K22" s="41" t="n">
        <x:f>K21+IF(E22="W",1,0)</x:f>
        <x:v>3</x:v>
      </x:c>
      <x:c r="L22" s="41" t="n">
        <x:f>L21+IF(E22="L",1,0)</x:f>
        <x:v>14</x:v>
      </x:c>
      <x:c r="M22" s="43" t="n">
        <x:f>B22-B21-1</x:f>
        <x:v>1</x:v>
      </x:c>
      <x:c r="N22" s="41" t="b">
        <x:f>M22=0</x:f>
        <x:v>0</x:v>
      </x:c>
      <x:c r="O22" s="41" t="str">
        <x:v>ROSTER</x:v>
      </x:c>
      <x:c r="P22" s="44" t="b">
        <x:v>0</x:v>
      </x:c>
      <x:c r="Q22" s="45" t="str">
        <x:v>HOLD</x:v>
      </x:c>
      <x:c r="R22" s="45" t="n">
        <x:v>0</x:v>
      </x:c>
      <x:c r="S22" s="45" t="n">
        <x:v>0</x:v>
      </x:c>
      <x:c r="T22" s="45" t="n">
        <x:v>0</x:v>
      </x:c>
      <x:c r="U22" s="46" t="n">
        <x:f>R22-S22-T22</x:f>
        <x:v>0</x:v>
      </x:c>
      <x:c r="V22" s="46" t="str">
        <x:v>HOLD</x:v>
      </x:c>
      <x:c r="W22" s="46" t="str">
        <x:v>HOLD</x:v>
      </x:c>
      <x:c r="X22" s="46" t="str">
        <x:v>PENDING</x:v>
      </x:c>
      <x:c r="Y22" s="46" t="str">
        <x:v>S01/S02/S03</x:v>
      </x:c>
    </x:row>
    <x:row r="23">
      <x:c r="A23" s="41" t="n">
        <x:v>18</x:v>
      </x:c>
      <x:c r="B23" s="42" t="n">
        <x:v>43425.5</x:v>
      </x:c>
      <x:c r="C23" s="41" t="str">
        <x:v>H</x:v>
      </x:c>
      <x:c r="D23" s="41" t="str">
        <x:v>Toronto Raptors</x:v>
      </x:c>
      <x:c r="E23" s="41" t="str">
        <x:v>L</x:v>
      </x:c>
      <x:c r="F23" s="41" t="n">
        <x:v>108</x:v>
      </x:c>
      <x:c r="G23" s="41" t="n">
        <x:v>124</x:v>
      </x:c>
      <x:c r="H23" s="41" t="n">
        <x:f>F23-G23</x:f>
        <x:v>-16</x:v>
      </x:c>
      <x:c r="I23" s="41" t="n">
        <x:v>0</x:v>
      </x:c>
      <x:c r="J23" s="41" t="n">
        <x:f>240+25*I23</x:f>
        <x:v>240</x:v>
      </x:c>
      <x:c r="K23" s="41" t="n">
        <x:f>K22+IF(E23="W",1,0)</x:f>
        <x:v>3</x:v>
      </x:c>
      <x:c r="L23" s="41" t="n">
        <x:f>L22+IF(E23="L",1,0)</x:f>
        <x:v>15</x:v>
      </x:c>
      <x:c r="M23" s="43" t="n">
        <x:f>B23-B22-1</x:f>
        <x:v>1</x:v>
      </x:c>
      <x:c r="N23" s="41" t="b">
        <x:f>M23=0</x:f>
        <x:v>0</x:v>
      </x:c>
      <x:c r="O23" s="41" t="str">
        <x:v>ROSTER</x:v>
      </x:c>
      <x:c r="P23" s="44" t="b">
        <x:v>0</x:v>
      </x:c>
      <x:c r="Q23" s="45" t="str">
        <x:v>HOLD</x:v>
      </x:c>
      <x:c r="R23" s="45" t="n">
        <x:v>0</x:v>
      </x:c>
      <x:c r="S23" s="45" t="n">
        <x:v>0</x:v>
      </x:c>
      <x:c r="T23" s="45" t="n">
        <x:v>0</x:v>
      </x:c>
      <x:c r="U23" s="46" t="n">
        <x:f>R23-S23-T23</x:f>
        <x:v>0</x:v>
      </x:c>
      <x:c r="V23" s="46" t="str">
        <x:v>HOLD</x:v>
      </x:c>
      <x:c r="W23" s="46" t="str">
        <x:v>HOLD</x:v>
      </x:c>
      <x:c r="X23" s="46" t="str">
        <x:v>PENDING</x:v>
      </x:c>
      <x:c r="Y23" s="46" t="str">
        <x:v>S01/S02/S03</x:v>
      </x:c>
    </x:row>
    <x:row r="24">
      <x:c r="A24" s="41" t="n">
        <x:v>19</x:v>
      </x:c>
      <x:c r="B24" s="42" t="n">
        <x:v>43427.5</x:v>
      </x:c>
      <x:c r="C24" s="41" t="str">
        <x:v>H</x:v>
      </x:c>
      <x:c r="D24" s="41" t="str">
        <x:v>Boston Celtics</x:v>
      </x:c>
      <x:c r="E24" s="41" t="str">
        <x:v>L</x:v>
      </x:c>
      <x:c r="F24" s="41" t="n">
        <x:v>96</x:v>
      </x:c>
      <x:c r="G24" s="41" t="n">
        <x:v>114</x:v>
      </x:c>
      <x:c r="H24" s="41" t="n">
        <x:f>F24-G24</x:f>
        <x:v>-18</x:v>
      </x:c>
      <x:c r="I24" s="41" t="n">
        <x:v>0</x:v>
      </x:c>
      <x:c r="J24" s="41" t="n">
        <x:f>240+25*I24</x:f>
        <x:v>240</x:v>
      </x:c>
      <x:c r="K24" s="41" t="n">
        <x:f>K23+IF(E24="W",1,0)</x:f>
        <x:v>3</x:v>
      </x:c>
      <x:c r="L24" s="41" t="n">
        <x:f>L23+IF(E24="L",1,0)</x:f>
        <x:v>16</x:v>
      </x:c>
      <x:c r="M24" s="43" t="n">
        <x:f>B24-B23-1</x:f>
        <x:v>1</x:v>
      </x:c>
      <x:c r="N24" s="41" t="b">
        <x:f>M24=0</x:f>
        <x:v>0</x:v>
      </x:c>
      <x:c r="O24" s="41" t="str">
        <x:v>ROSTER</x:v>
      </x:c>
      <x:c r="P24" s="44" t="b">
        <x:v>0</x:v>
      </x:c>
      <x:c r="Q24" s="45" t="str">
        <x:v>HOLD</x:v>
      </x:c>
      <x:c r="R24" s="45" t="n">
        <x:v>0</x:v>
      </x:c>
      <x:c r="S24" s="45" t="n">
        <x:v>0</x:v>
      </x:c>
      <x:c r="T24" s="45" t="n">
        <x:v>0</x:v>
      </x:c>
      <x:c r="U24" s="46" t="n">
        <x:f>R24-S24-T24</x:f>
        <x:v>0</x:v>
      </x:c>
      <x:c r="V24" s="46" t="str">
        <x:v>HOLD</x:v>
      </x:c>
      <x:c r="W24" s="46" t="str">
        <x:v>HOLD</x:v>
      </x:c>
      <x:c r="X24" s="46" t="str">
        <x:v>PENDING</x:v>
      </x:c>
      <x:c r="Y24" s="46" t="str">
        <x:v>S01/S02/S03</x:v>
      </x:c>
    </x:row>
    <x:row r="25">
      <x:c r="A25" s="41" t="n">
        <x:v>20</x:v>
      </x:c>
      <x:c r="B25" s="42" t="n">
        <x:v>43429.5</x:v>
      </x:c>
      <x:c r="C25" s="41" t="str">
        <x:v>H</x:v>
      </x:c>
      <x:c r="D25" s="41" t="str">
        <x:v>Charlotte Hornets</x:v>
      </x:c>
      <x:c r="E25" s="41" t="str">
        <x:v>W</x:v>
      </x:c>
      <x:c r="F25" s="41" t="n">
        <x:v>124</x:v>
      </x:c>
      <x:c r="G25" s="41" t="n">
        <x:v>123</x:v>
      </x:c>
      <x:c r="H25" s="41" t="n">
        <x:f>F25-G25</x:f>
        <x:v>1</x:v>
      </x:c>
      <x:c r="I25" s="41" t="n">
        <x:v>0</x:v>
      </x:c>
      <x:c r="J25" s="41" t="n">
        <x:f>240+25*I25</x:f>
        <x:v>240</x:v>
      </x:c>
      <x:c r="K25" s="41" t="n">
        <x:f>K24+IF(E25="W",1,0)</x:f>
        <x:v>4</x:v>
      </x:c>
      <x:c r="L25" s="41" t="n">
        <x:f>L24+IF(E25="L",1,0)</x:f>
        <x:v>16</x:v>
      </x:c>
      <x:c r="M25" s="43" t="n">
        <x:f>B25-B24-1</x:f>
        <x:v>1</x:v>
      </x:c>
      <x:c r="N25" s="41" t="b">
        <x:f>M25=0</x:f>
        <x:v>0</x:v>
      </x:c>
      <x:c r="O25" s="41" t="str">
        <x:v>ROSTER</x:v>
      </x:c>
      <x:c r="P25" s="44" t="b">
        <x:v>0</x:v>
      </x:c>
      <x:c r="Q25" s="45" t="str">
        <x:v>HOLD</x:v>
      </x:c>
      <x:c r="R25" s="45" t="n">
        <x:v>0</x:v>
      </x:c>
      <x:c r="S25" s="45" t="n">
        <x:v>0</x:v>
      </x:c>
      <x:c r="T25" s="45" t="n">
        <x:v>0</x:v>
      </x:c>
      <x:c r="U25" s="46" t="n">
        <x:f>R25-S25-T25</x:f>
        <x:v>0</x:v>
      </x:c>
      <x:c r="V25" s="46" t="str">
        <x:v>HOLD</x:v>
      </x:c>
      <x:c r="W25" s="46" t="str">
        <x:v>HOLD</x:v>
      </x:c>
      <x:c r="X25" s="46" t="str">
        <x:v>PENDING</x:v>
      </x:c>
      <x:c r="Y25" s="46" t="str">
        <x:v>S01/S02/S03</x:v>
      </x:c>
    </x:row>
    <x:row r="26">
      <x:c r="A26" s="41" t="n">
        <x:v>21</x:v>
      </x:c>
      <x:c r="B26" s="42" t="n">
        <x:v>43431.5</x:v>
      </x:c>
      <x:c r="C26" s="41" t="str">
        <x:v>A</x:v>
      </x:c>
      <x:c r="D26" s="41" t="str">
        <x:v>Miami Heat</x:v>
      </x:c>
      <x:c r="E26" s="41" t="str">
        <x:v>W</x:v>
      </x:c>
      <x:c r="F26" s="41" t="n">
        <x:v>115</x:v>
      </x:c>
      <x:c r="G26" s="41" t="n">
        <x:v>113</x:v>
      </x:c>
      <x:c r="H26" s="41" t="n">
        <x:f>F26-G26</x:f>
        <x:v>2</x:v>
      </x:c>
      <x:c r="I26" s="41" t="n">
        <x:v>0</x:v>
      </x:c>
      <x:c r="J26" s="41" t="n">
        <x:f>240+25*I26</x:f>
        <x:v>240</x:v>
      </x:c>
      <x:c r="K26" s="41" t="n">
        <x:f>K25+IF(E26="W",1,0)</x:f>
        <x:v>5</x:v>
      </x:c>
      <x:c r="L26" s="41" t="n">
        <x:f>L25+IF(E26="L",1,0)</x:f>
        <x:v>16</x:v>
      </x:c>
      <x:c r="M26" s="43" t="n">
        <x:f>B26-B25-1</x:f>
        <x:v>1</x:v>
      </x:c>
      <x:c r="N26" s="41" t="b">
        <x:f>M26=0</x:f>
        <x:v>0</x:v>
      </x:c>
      <x:c r="O26" s="41" t="str">
        <x:v>ROSTER</x:v>
      </x:c>
      <x:c r="P26" s="44" t="b">
        <x:v>0</x:v>
      </x:c>
      <x:c r="Q26" s="45" t="str">
        <x:v>HOLD</x:v>
      </x:c>
      <x:c r="R26" s="45" t="n">
        <x:v>0</x:v>
      </x:c>
      <x:c r="S26" s="45" t="n">
        <x:v>0</x:v>
      </x:c>
      <x:c r="T26" s="45" t="n">
        <x:v>0</x:v>
      </x:c>
      <x:c r="U26" s="46" t="n">
        <x:f>R26-S26-T26</x:f>
        <x:v>0</x:v>
      </x:c>
      <x:c r="V26" s="46" t="str">
        <x:v>HOLD</x:v>
      </x:c>
      <x:c r="W26" s="46" t="str">
        <x:v>HOLD</x:v>
      </x:c>
      <x:c r="X26" s="46" t="str">
        <x:v>PENDING</x:v>
      </x:c>
      <x:c r="Y26" s="46" t="str">
        <x:v>S01/S02/S03</x:v>
      </x:c>
    </x:row>
    <x:row r="27">
      <x:c r="A27" s="41" t="n">
        <x:v>22</x:v>
      </x:c>
      <x:c r="B27" s="42" t="n">
        <x:v>43432.5</x:v>
      </x:c>
      <x:c r="C27" s="41" t="str">
        <x:v>A</x:v>
      </x:c>
      <x:c r="D27" s="41" t="str">
        <x:v>Charlotte Hornets</x:v>
      </x:c>
      <x:c r="E27" s="41" t="str">
        <x:v>L</x:v>
      </x:c>
      <x:c r="F27" s="41" t="n">
        <x:v>94</x:v>
      </x:c>
      <x:c r="G27" s="41" t="n">
        <x:v>108</x:v>
      </x:c>
      <x:c r="H27" s="41" t="n">
        <x:f>F27-G27</x:f>
        <x:v>-14</x:v>
      </x:c>
      <x:c r="I27" s="41" t="n">
        <x:v>0</x:v>
      </x:c>
      <x:c r="J27" s="41" t="n">
        <x:f>240+25*I27</x:f>
        <x:v>240</x:v>
      </x:c>
      <x:c r="K27" s="41" t="n">
        <x:f>K26+IF(E27="W",1,0)</x:f>
        <x:v>5</x:v>
      </x:c>
      <x:c r="L27" s="41" t="n">
        <x:f>L26+IF(E27="L",1,0)</x:f>
        <x:v>17</x:v>
      </x:c>
      <x:c r="M27" s="43" t="n">
        <x:f>B27-B26-1</x:f>
        <x:v>0</x:v>
      </x:c>
      <x:c r="N27" s="41" t="b">
        <x:f>M27=0</x:f>
        <x:v>1</x:v>
      </x:c>
      <x:c r="O27" s="41" t="str">
        <x:v>ROSTER</x:v>
      </x:c>
      <x:c r="P27" s="44" t="b">
        <x:v>0</x:v>
      </x:c>
      <x:c r="Q27" s="45" t="str">
        <x:v>HOLD</x:v>
      </x:c>
      <x:c r="R27" s="45" t="n">
        <x:v>0</x:v>
      </x:c>
      <x:c r="S27" s="45" t="n">
        <x:v>0</x:v>
      </x:c>
      <x:c r="T27" s="45" t="n">
        <x:v>0</x:v>
      </x:c>
      <x:c r="U27" s="46" t="n">
        <x:f>R27-S27-T27</x:f>
        <x:v>0</x:v>
      </x:c>
      <x:c r="V27" s="46" t="str">
        <x:v>HOLD</x:v>
      </x:c>
      <x:c r="W27" s="46" t="str">
        <x:v>HOLD</x:v>
      </x:c>
      <x:c r="X27" s="46" t="str">
        <x:v>PENDING</x:v>
      </x:c>
      <x:c r="Y27" s="46" t="str">
        <x:v>S01/S02/S03</x:v>
      </x:c>
    </x:row>
    <x:row r="28">
      <x:c r="A28" s="41" t="n">
        <x:v>23</x:v>
      </x:c>
      <x:c r="B28" s="42" t="n">
        <x:v>43434.5</x:v>
      </x:c>
      <x:c r="C28" s="41" t="str">
        <x:v>A</x:v>
      </x:c>
      <x:c r="D28" s="41" t="str">
        <x:v>Oklahoma City Thunder</x:v>
      </x:c>
      <x:c r="E28" s="41" t="str">
        <x:v>L</x:v>
      </x:c>
      <x:c r="F28" s="41" t="n">
        <x:v>109</x:v>
      </x:c>
      <x:c r="G28" s="41" t="n">
        <x:v>124</x:v>
      </x:c>
      <x:c r="H28" s="41" t="n">
        <x:f>F28-G28</x:f>
        <x:v>-15</x:v>
      </x:c>
      <x:c r="I28" s="41" t="n">
        <x:v>0</x:v>
      </x:c>
      <x:c r="J28" s="41" t="n">
        <x:f>240+25*I28</x:f>
        <x:v>240</x:v>
      </x:c>
      <x:c r="K28" s="41" t="n">
        <x:f>K27+IF(E28="W",1,0)</x:f>
        <x:v>5</x:v>
      </x:c>
      <x:c r="L28" s="41" t="n">
        <x:f>L27+IF(E28="L",1,0)</x:f>
        <x:v>18</x:v>
      </x:c>
      <x:c r="M28" s="43" t="n">
        <x:f>B28-B27-1</x:f>
        <x:v>1</x:v>
      </x:c>
      <x:c r="N28" s="41" t="b">
        <x:f>M28=0</x:f>
        <x:v>0</x:v>
      </x:c>
      <x:c r="O28" s="41" t="str">
        <x:v>ROSTER</x:v>
      </x:c>
      <x:c r="P28" s="44" t="b">
        <x:v>0</x:v>
      </x:c>
      <x:c r="Q28" s="45" t="str">
        <x:v>HOLD</x:v>
      </x:c>
      <x:c r="R28" s="45" t="n">
        <x:v>0</x:v>
      </x:c>
      <x:c r="S28" s="45" t="n">
        <x:v>0</x:v>
      </x:c>
      <x:c r="T28" s="45" t="n">
        <x:v>0</x:v>
      </x:c>
      <x:c r="U28" s="46" t="n">
        <x:f>R28-S28-T28</x:f>
        <x:v>0</x:v>
      </x:c>
      <x:c r="V28" s="46" t="str">
        <x:v>HOLD</x:v>
      </x:c>
      <x:c r="W28" s="46" t="str">
        <x:v>HOLD</x:v>
      </x:c>
      <x:c r="X28" s="46" t="str">
        <x:v>PENDING</x:v>
      </x:c>
      <x:c r="Y28" s="46" t="str">
        <x:v>S01/S02/S03</x:v>
      </x:c>
    </x:row>
    <x:row r="29">
      <x:c r="A29" s="41" t="n">
        <x:v>24</x:v>
      </x:c>
      <x:c r="B29" s="42" t="n">
        <x:v>43437.5</x:v>
      </x:c>
      <x:c r="C29" s="41" t="str">
        <x:v>H</x:v>
      </x:c>
      <x:c r="D29" s="41" t="str">
        <x:v>Golden State Warriors</x:v>
      </x:c>
      <x:c r="E29" s="41" t="str">
        <x:v>L</x:v>
      </x:c>
      <x:c r="F29" s="41" t="n">
        <x:v>111</x:v>
      </x:c>
      <x:c r="G29" s="41" t="n">
        <x:v>128</x:v>
      </x:c>
      <x:c r="H29" s="41" t="n">
        <x:f>F29-G29</x:f>
        <x:v>-17</x:v>
      </x:c>
      <x:c r="I29" s="41" t="n">
        <x:v>0</x:v>
      </x:c>
      <x:c r="J29" s="41" t="n">
        <x:f>240+25*I29</x:f>
        <x:v>240</x:v>
      </x:c>
      <x:c r="K29" s="41" t="n">
        <x:f>K28+IF(E29="W",1,0)</x:f>
        <x:v>5</x:v>
      </x:c>
      <x:c r="L29" s="41" t="n">
        <x:f>L28+IF(E29="L",1,0)</x:f>
        <x:v>19</x:v>
      </x:c>
      <x:c r="M29" s="43" t="n">
        <x:f>B29-B28-1</x:f>
        <x:v>2</x:v>
      </x:c>
      <x:c r="N29" s="41" t="b">
        <x:f>M29=0</x:f>
        <x:v>0</x:v>
      </x:c>
      <x:c r="O29" s="41" t="str">
        <x:v>ROSTER</x:v>
      </x:c>
      <x:c r="P29" s="44" t="b">
        <x:v>0</x:v>
      </x:c>
      <x:c r="Q29" s="45" t="str">
        <x:v>HOLD</x:v>
      </x:c>
      <x:c r="R29" s="45" t="n">
        <x:v>0</x:v>
      </x:c>
      <x:c r="S29" s="45" t="n">
        <x:v>0</x:v>
      </x:c>
      <x:c r="T29" s="45" t="n">
        <x:v>0</x:v>
      </x:c>
      <x:c r="U29" s="46" t="n">
        <x:f>R29-S29-T29</x:f>
        <x:v>0</x:v>
      </x:c>
      <x:c r="V29" s="46" t="str">
        <x:v>HOLD</x:v>
      </x:c>
      <x:c r="W29" s="46" t="str">
        <x:v>HOLD</x:v>
      </x:c>
      <x:c r="X29" s="46" t="str">
        <x:v>PENDING</x:v>
      </x:c>
      <x:c r="Y29" s="46" t="str">
        <x:v>S01/S02/S03</x:v>
      </x:c>
    </x:row>
    <x:row r="30">
      <x:c r="A30" s="41" t="n">
        <x:v>25</x:v>
      </x:c>
      <x:c r="B30" s="42" t="n">
        <x:v>43439.5</x:v>
      </x:c>
      <x:c r="C30" s="41" t="str">
        <x:v>H</x:v>
      </x:c>
      <x:c r="D30" s="41" t="str">
        <x:v>Washington Wizards</x:v>
      </x:c>
      <x:c r="E30" s="41" t="str">
        <x:v>L</x:v>
      </x:c>
      <x:c r="F30" s="41" t="n">
        <x:v>117</x:v>
      </x:c>
      <x:c r="G30" s="41" t="n">
        <x:v>131</x:v>
      </x:c>
      <x:c r="H30" s="41" t="n">
        <x:f>F30-G30</x:f>
        <x:v>-14</x:v>
      </x:c>
      <x:c r="I30" s="41" t="n">
        <x:v>0</x:v>
      </x:c>
      <x:c r="J30" s="41" t="n">
        <x:f>240+25*I30</x:f>
        <x:v>240</x:v>
      </x:c>
      <x:c r="K30" s="41" t="n">
        <x:f>K29+IF(E30="W",1,0)</x:f>
        <x:v>5</x:v>
      </x:c>
      <x:c r="L30" s="41" t="n">
        <x:f>L29+IF(E30="L",1,0)</x:f>
        <x:v>20</x:v>
      </x:c>
      <x:c r="M30" s="43" t="n">
        <x:f>B30-B29-1</x:f>
        <x:v>1</x:v>
      </x:c>
      <x:c r="N30" s="41" t="b">
        <x:f>M30=0</x:f>
        <x:v>0</x:v>
      </x:c>
      <x:c r="O30" s="41" t="str">
        <x:v>ROSTER</x:v>
      </x:c>
      <x:c r="P30" s="44" t="b">
        <x:v>0</x:v>
      </x:c>
      <x:c r="Q30" s="45" t="str">
        <x:v>HOLD</x:v>
      </x:c>
      <x:c r="R30" s="45" t="n">
        <x:v>0</x:v>
      </x:c>
      <x:c r="S30" s="45" t="n">
        <x:v>0</x:v>
      </x:c>
      <x:c r="T30" s="45" t="n">
        <x:v>0</x:v>
      </x:c>
      <x:c r="U30" s="46" t="n">
        <x:f>R30-S30-T30</x:f>
        <x:v>0</x:v>
      </x:c>
      <x:c r="V30" s="46" t="str">
        <x:v>HOLD</x:v>
      </x:c>
      <x:c r="W30" s="46" t="str">
        <x:v>HOLD</x:v>
      </x:c>
      <x:c r="X30" s="46" t="str">
        <x:v>PENDING</x:v>
      </x:c>
      <x:c r="Y30" s="46" t="str">
        <x:v>S01/S02/S03</x:v>
      </x:c>
    </x:row>
    <x:row r="31">
      <x:c r="A31" s="41" t="n">
        <x:v>26</x:v>
      </x:c>
      <x:c r="B31" s="42" t="n">
        <x:v>43442.5</x:v>
      </x:c>
      <x:c r="C31" s="41" t="str">
        <x:v>H</x:v>
      </x:c>
      <x:c r="D31" s="41" t="str">
        <x:v>Denver Nuggets</x:v>
      </x:c>
      <x:c r="E31" s="41" t="str">
        <x:v>W</x:v>
      </x:c>
      <x:c r="F31" s="41" t="n">
        <x:v>106</x:v>
      </x:c>
      <x:c r="G31" s="41" t="n">
        <x:v>98</x:v>
      </x:c>
      <x:c r="H31" s="41" t="n">
        <x:f>F31-G31</x:f>
        <x:v>8</x:v>
      </x:c>
      <x:c r="I31" s="41" t="n">
        <x:v>0</x:v>
      </x:c>
      <x:c r="J31" s="41" t="n">
        <x:f>240+25*I31</x:f>
        <x:v>240</x:v>
      </x:c>
      <x:c r="K31" s="41" t="n">
        <x:f>K30+IF(E31="W",1,0)</x:f>
        <x:v>6</x:v>
      </x:c>
      <x:c r="L31" s="41" t="n">
        <x:f>L30+IF(E31="L",1,0)</x:f>
        <x:v>20</x:v>
      </x:c>
      <x:c r="M31" s="43" t="n">
        <x:f>B31-B30-1</x:f>
        <x:v>2</x:v>
      </x:c>
      <x:c r="N31" s="41" t="b">
        <x:f>M31=0</x:f>
        <x:v>0</x:v>
      </x:c>
      <x:c r="O31" s="41" t="str">
        <x:v>ROSTER</x:v>
      </x:c>
      <x:c r="P31" s="44" t="b">
        <x:v>0</x:v>
      </x:c>
      <x:c r="Q31" s="45" t="str">
        <x:v>HOLD</x:v>
      </x:c>
      <x:c r="R31" s="45" t="n">
        <x:v>0</x:v>
      </x:c>
      <x:c r="S31" s="45" t="n">
        <x:v>0</x:v>
      </x:c>
      <x:c r="T31" s="45" t="n">
        <x:v>0</x:v>
      </x:c>
      <x:c r="U31" s="46" t="n">
        <x:f>R31-S31-T31</x:f>
        <x:v>0</x:v>
      </x:c>
      <x:c r="V31" s="46" t="str">
        <x:v>HOLD</x:v>
      </x:c>
      <x:c r="W31" s="46" t="str">
        <x:v>HOLD</x:v>
      </x:c>
      <x:c r="X31" s="46" t="str">
        <x:v>PENDING</x:v>
      </x:c>
      <x:c r="Y31" s="46" t="str">
        <x:v>S01/S02/S03</x:v>
      </x:c>
    </x:row>
    <x:row r="32">
      <x:c r="A32" s="41" t="n">
        <x:v>27</x:v>
      </x:c>
      <x:c r="B32" s="42" t="n">
        <x:v>43446.5</x:v>
      </x:c>
      <x:c r="C32" s="41" t="str">
        <x:v>A</x:v>
      </x:c>
      <x:c r="D32" s="41" t="str">
        <x:v>Dallas Mavericks</x:v>
      </x:c>
      <x:c r="E32" s="41" t="str">
        <x:v>L</x:v>
      </x:c>
      <x:c r="F32" s="41" t="n">
        <x:v>107</x:v>
      </x:c>
      <x:c r="G32" s="41" t="n">
        <x:v>114</x:v>
      </x:c>
      <x:c r="H32" s="41" t="n">
        <x:f>F32-G32</x:f>
        <x:v>-7</x:v>
      </x:c>
      <x:c r="I32" s="41" t="n">
        <x:v>0</x:v>
      </x:c>
      <x:c r="J32" s="41" t="n">
        <x:f>240+25*I32</x:f>
        <x:v>240</x:v>
      </x:c>
      <x:c r="K32" s="41" t="n">
        <x:f>K31+IF(E32="W",1,0)</x:f>
        <x:v>6</x:v>
      </x:c>
      <x:c r="L32" s="41" t="n">
        <x:f>L31+IF(E32="L",1,0)</x:f>
        <x:v>21</x:v>
      </x:c>
      <x:c r="M32" s="43" t="n">
        <x:f>B32-B31-1</x:f>
        <x:v>3</x:v>
      </x:c>
      <x:c r="N32" s="41" t="b">
        <x:f>M32=0</x:f>
        <x:v>0</x:v>
      </x:c>
      <x:c r="O32" s="41" t="str">
        <x:v>ROSTER</x:v>
      </x:c>
      <x:c r="P32" s="44" t="b">
        <x:v>0</x:v>
      </x:c>
      <x:c r="Q32" s="45" t="str">
        <x:v>HOLD</x:v>
      </x:c>
      <x:c r="R32" s="45" t="n">
        <x:v>0</x:v>
      </x:c>
      <x:c r="S32" s="45" t="n">
        <x:v>0</x:v>
      </x:c>
      <x:c r="T32" s="45" t="n">
        <x:v>0</x:v>
      </x:c>
      <x:c r="U32" s="46" t="n">
        <x:f>R32-S32-T32</x:f>
        <x:v>0</x:v>
      </x:c>
      <x:c r="V32" s="46" t="str">
        <x:v>HOLD</x:v>
      </x:c>
      <x:c r="W32" s="46" t="str">
        <x:v>HOLD</x:v>
      </x:c>
      <x:c r="X32" s="46" t="str">
        <x:v>PENDING</x:v>
      </x:c>
      <x:c r="Y32" s="46" t="str">
        <x:v>S01/S02/S03</x:v>
      </x:c>
    </x:row>
    <x:row r="33">
      <x:c r="A33" s="41" t="n">
        <x:v>28</x:v>
      </x:c>
      <x:c r="B33" s="42" t="n">
        <x:v>43448.5</x:v>
      </x:c>
      <x:c r="C33" s="41" t="str">
        <x:v>A</x:v>
      </x:c>
      <x:c r="D33" s="41" t="str">
        <x:v>Boston Celtics</x:v>
      </x:c>
      <x:c r="E33" s="41" t="str">
        <x:v>L</x:v>
      </x:c>
      <x:c r="F33" s="41" t="n">
        <x:v>108</x:v>
      </x:c>
      <x:c r="G33" s="41" t="n">
        <x:v>129</x:v>
      </x:c>
      <x:c r="H33" s="41" t="n">
        <x:f>F33-G33</x:f>
        <x:v>-21</x:v>
      </x:c>
      <x:c r="I33" s="41" t="n">
        <x:v>0</x:v>
      </x:c>
      <x:c r="J33" s="41" t="n">
        <x:f>240+25*I33</x:f>
        <x:v>240</x:v>
      </x:c>
      <x:c r="K33" s="41" t="n">
        <x:f>K32+IF(E33="W",1,0)</x:f>
        <x:v>6</x:v>
      </x:c>
      <x:c r="L33" s="41" t="n">
        <x:f>L32+IF(E33="L",1,0)</x:f>
        <x:v>22</x:v>
      </x:c>
      <x:c r="M33" s="43" t="n">
        <x:f>B33-B32-1</x:f>
        <x:v>1</x:v>
      </x:c>
      <x:c r="N33" s="41" t="b">
        <x:f>M33=0</x:f>
        <x:v>0</x:v>
      </x:c>
      <x:c r="O33" s="41" t="str">
        <x:v>ROSTER</x:v>
      </x:c>
      <x:c r="P33" s="44" t="b">
        <x:v>0</x:v>
      </x:c>
      <x:c r="Q33" s="45" t="str">
        <x:v>HOLD</x:v>
      </x:c>
      <x:c r="R33" s="45" t="n">
        <x:v>0</x:v>
      </x:c>
      <x:c r="S33" s="45" t="n">
        <x:v>0</x:v>
      </x:c>
      <x:c r="T33" s="45" t="n">
        <x:v>0</x:v>
      </x:c>
      <x:c r="U33" s="46" t="n">
        <x:f>R33-S33-T33</x:f>
        <x:v>0</x:v>
      </x:c>
      <x:c r="V33" s="46" t="str">
        <x:v>HOLD</x:v>
      </x:c>
      <x:c r="W33" s="46" t="str">
        <x:v>HOLD</x:v>
      </x:c>
      <x:c r="X33" s="46" t="str">
        <x:v>PENDING</x:v>
      </x:c>
      <x:c r="Y33" s="46" t="str">
        <x:v>S01/S02/S03</x:v>
      </x:c>
    </x:row>
    <x:row r="34">
      <x:c r="A34" s="41" t="n">
        <x:v>29</x:v>
      </x:c>
      <x:c r="B34" s="42" t="n">
        <x:v>43450.5</x:v>
      </x:c>
      <x:c r="C34" s="41" t="str">
        <x:v>A</x:v>
      </x:c>
      <x:c r="D34" s="41" t="str">
        <x:v>Brooklyn Nets</x:v>
      </x:c>
      <x:c r="E34" s="41" t="str">
        <x:v>L</x:v>
      </x:c>
      <x:c r="F34" s="41" t="n">
        <x:v>127</x:v>
      </x:c>
      <x:c r="G34" s="41" t="n">
        <x:v>144</x:v>
      </x:c>
      <x:c r="H34" s="41" t="n">
        <x:f>F34-G34</x:f>
        <x:v>-17</x:v>
      </x:c>
      <x:c r="I34" s="41" t="n">
        <x:v>0</x:v>
      </x:c>
      <x:c r="J34" s="41" t="n">
        <x:f>240+25*I34</x:f>
        <x:v>240</x:v>
      </x:c>
      <x:c r="K34" s="41" t="n">
        <x:f>K33+IF(E34="W",1,0)</x:f>
        <x:v>6</x:v>
      </x:c>
      <x:c r="L34" s="41" t="n">
        <x:f>L33+IF(E34="L",1,0)</x:f>
        <x:v>23</x:v>
      </x:c>
      <x:c r="M34" s="43" t="n">
        <x:f>B34-B33-1</x:f>
        <x:v>1</x:v>
      </x:c>
      <x:c r="N34" s="41" t="b">
        <x:f>M34=0</x:f>
        <x:v>0</x:v>
      </x:c>
      <x:c r="O34" s="41" t="str">
        <x:v>ROSTER</x:v>
      </x:c>
      <x:c r="P34" s="44" t="b">
        <x:v>0</x:v>
      </x:c>
      <x:c r="Q34" s="45" t="str">
        <x:v>HOLD</x:v>
      </x:c>
      <x:c r="R34" s="45" t="n">
        <x:v>0</x:v>
      </x:c>
      <x:c r="S34" s="45" t="n">
        <x:v>0</x:v>
      </x:c>
      <x:c r="T34" s="45" t="n">
        <x:v>0</x:v>
      </x:c>
      <x:c r="U34" s="46" t="n">
        <x:f>R34-S34-T34</x:f>
        <x:v>0</x:v>
      </x:c>
      <x:c r="V34" s="46" t="str">
        <x:v>HOLD</x:v>
      </x:c>
      <x:c r="W34" s="46" t="str">
        <x:v>HOLD</x:v>
      </x:c>
      <x:c r="X34" s="46" t="str">
        <x:v>PENDING</x:v>
      </x:c>
      <x:c r="Y34" s="46" t="str">
        <x:v>S01/S02/S03</x:v>
      </x:c>
    </x:row>
    <x:row r="35">
      <x:c r="A35" s="41" t="n">
        <x:v>30</x:v>
      </x:c>
      <x:c r="B35" s="42" t="n">
        <x:v>43452.5</x:v>
      </x:c>
      <x:c r="C35" s="41" t="str">
        <x:v>H</x:v>
      </x:c>
      <x:c r="D35" s="41" t="str">
        <x:v>Washington Wizards</x:v>
      </x:c>
      <x:c r="E35" s="41" t="str">
        <x:v>W</x:v>
      </x:c>
      <x:c r="F35" s="41" t="n">
        <x:v>118</x:v>
      </x:c>
      <x:c r="G35" s="41" t="n">
        <x:v>110</x:v>
      </x:c>
      <x:c r="H35" s="41" t="n">
        <x:f>F35-G35</x:f>
        <x:v>8</x:v>
      </x:c>
      <x:c r="I35" s="41" t="n">
        <x:v>0</x:v>
      </x:c>
      <x:c r="J35" s="41" t="n">
        <x:f>240+25*I35</x:f>
        <x:v>240</x:v>
      </x:c>
      <x:c r="K35" s="41" t="n">
        <x:f>K34+IF(E35="W",1,0)</x:f>
        <x:v>7</x:v>
      </x:c>
      <x:c r="L35" s="41" t="n">
        <x:f>L34+IF(E35="L",1,0)</x:f>
        <x:v>23</x:v>
      </x:c>
      <x:c r="M35" s="43" t="n">
        <x:f>B35-B34-1</x:f>
        <x:v>1</x:v>
      </x:c>
      <x:c r="N35" s="41" t="b">
        <x:f>M35=0</x:f>
        <x:v>0</x:v>
      </x:c>
      <x:c r="O35" s="41" t="str">
        <x:v>ROSTER</x:v>
      </x:c>
      <x:c r="P35" s="44" t="b">
        <x:v>0</x:v>
      </x:c>
      <x:c r="Q35" s="45" t="str">
        <x:v>HOLD</x:v>
      </x:c>
      <x:c r="R35" s="45" t="n">
        <x:v>0</x:v>
      </x:c>
      <x:c r="S35" s="45" t="n">
        <x:v>0</x:v>
      </x:c>
      <x:c r="T35" s="45" t="n">
        <x:v>0</x:v>
      </x:c>
      <x:c r="U35" s="46" t="n">
        <x:f>R35-S35-T35</x:f>
        <x:v>0</x:v>
      </x:c>
      <x:c r="V35" s="46" t="str">
        <x:v>HOLD</x:v>
      </x:c>
      <x:c r="W35" s="46" t="str">
        <x:v>HOLD</x:v>
      </x:c>
      <x:c r="X35" s="46" t="str">
        <x:v>PENDING</x:v>
      </x:c>
      <x:c r="Y35" s="46" t="str">
        <x:v>S01/S02/S03</x:v>
      </x:c>
    </x:row>
    <x:row r="36">
      <x:c r="A36" s="41" t="n">
        <x:v>31</x:v>
      </x:c>
      <x:c r="B36" s="42" t="n">
        <x:v>43455.5</x:v>
      </x:c>
      <x:c r="C36" s="41" t="str">
        <x:v>A</x:v>
      </x:c>
      <x:c r="D36" s="41" t="str">
        <x:v>New York Knicks</x:v>
      </x:c>
      <x:c r="E36" s="41" t="str">
        <x:v>W</x:v>
      </x:c>
      <x:c r="F36" s="41" t="n">
        <x:v>114</x:v>
      </x:c>
      <x:c r="G36" s="41" t="n">
        <x:v>107</x:v>
      </x:c>
      <x:c r="H36" s="41" t="n">
        <x:f>F36-G36</x:f>
        <x:v>7</x:v>
      </x:c>
      <x:c r="I36" s="41" t="n">
        <x:v>0</x:v>
      </x:c>
      <x:c r="J36" s="41" t="n">
        <x:f>240+25*I36</x:f>
        <x:v>240</x:v>
      </x:c>
      <x:c r="K36" s="41" t="n">
        <x:f>K35+IF(E36="W",1,0)</x:f>
        <x:v>8</x:v>
      </x:c>
      <x:c r="L36" s="41" t="n">
        <x:f>L35+IF(E36="L",1,0)</x:f>
        <x:v>23</x:v>
      </x:c>
      <x:c r="M36" s="43" t="n">
        <x:f>B36-B35-1</x:f>
        <x:v>2</x:v>
      </x:c>
      <x:c r="N36" s="41" t="b">
        <x:f>M36=0</x:f>
        <x:v>0</x:v>
      </x:c>
      <x:c r="O36" s="41" t="str">
        <x:v>ROSTER</x:v>
      </x:c>
      <x:c r="P36" s="44" t="b">
        <x:v>0</x:v>
      </x:c>
      <x:c r="Q36" s="45" t="str">
        <x:v>HOLD</x:v>
      </x:c>
      <x:c r="R36" s="45" t="n">
        <x:v>0</x:v>
      </x:c>
      <x:c r="S36" s="45" t="n">
        <x:v>0</x:v>
      </x:c>
      <x:c r="T36" s="45" t="n">
        <x:v>0</x:v>
      </x:c>
      <x:c r="U36" s="46" t="n">
        <x:f>R36-S36-T36</x:f>
        <x:v>0</x:v>
      </x:c>
      <x:c r="V36" s="46" t="str">
        <x:v>HOLD</x:v>
      </x:c>
      <x:c r="W36" s="46" t="str">
        <x:v>HOLD</x:v>
      </x:c>
      <x:c r="X36" s="46" t="str">
        <x:v>PENDING</x:v>
      </x:c>
      <x:c r="Y36" s="46" t="str">
        <x:v>S01/S02/S03</x:v>
      </x:c>
    </x:row>
    <x:row r="37">
      <x:c r="A37" s="41" t="n">
        <x:v>32</x:v>
      </x:c>
      <x:c r="B37" s="42" t="n">
        <x:v>43457.5</x:v>
      </x:c>
      <x:c r="C37" s="41" t="str">
        <x:v>A</x:v>
      </x:c>
      <x:c r="D37" s="41" t="str">
        <x:v>Detroit Pistons</x:v>
      </x:c>
      <x:c r="E37" s="41" t="str">
        <x:v>W</x:v>
      </x:c>
      <x:c r="F37" s="41" t="n">
        <x:v>98</x:v>
      </x:c>
      <x:c r="G37" s="41" t="n">
        <x:v>95</x:v>
      </x:c>
      <x:c r="H37" s="41" t="n">
        <x:f>F37-G37</x:f>
        <x:v>3</x:v>
      </x:c>
      <x:c r="I37" s="41" t="n">
        <x:v>0</x:v>
      </x:c>
      <x:c r="J37" s="41" t="n">
        <x:f>240+25*I37</x:f>
        <x:v>240</x:v>
      </x:c>
      <x:c r="K37" s="41" t="n">
        <x:f>K36+IF(E37="W",1,0)</x:f>
        <x:v>9</x:v>
      </x:c>
      <x:c r="L37" s="41" t="n">
        <x:f>L36+IF(E37="L",1,0)</x:f>
        <x:v>23</x:v>
      </x:c>
      <x:c r="M37" s="43" t="n">
        <x:f>B37-B36-1</x:f>
        <x:v>1</x:v>
      </x:c>
      <x:c r="N37" s="41" t="b">
        <x:f>M37=0</x:f>
        <x:v>0</x:v>
      </x:c>
      <x:c r="O37" s="41" t="str">
        <x:v>ROSTER</x:v>
      </x:c>
      <x:c r="P37" s="44" t="b">
        <x:v>0</x:v>
      </x:c>
      <x:c r="Q37" s="45" t="str">
        <x:v>HOLD</x:v>
      </x:c>
      <x:c r="R37" s="45" t="n">
        <x:v>0</x:v>
      </x:c>
      <x:c r="S37" s="45" t="n">
        <x:v>0</x:v>
      </x:c>
      <x:c r="T37" s="45" t="n">
        <x:v>0</x:v>
      </x:c>
      <x:c r="U37" s="46" t="n">
        <x:f>R37-S37-T37</x:f>
        <x:v>0</x:v>
      </x:c>
      <x:c r="V37" s="46" t="str">
        <x:v>HOLD</x:v>
      </x:c>
      <x:c r="W37" s="46" t="str">
        <x:v>HOLD</x:v>
      </x:c>
      <x:c r="X37" s="46" t="str">
        <x:v>PENDING</x:v>
      </x:c>
      <x:c r="Y37" s="46" t="str">
        <x:v>S01/S02/S03</x:v>
      </x:c>
    </x:row>
    <x:row r="38">
      <x:c r="A38" s="41" t="n">
        <x:v>33</x:v>
      </x:c>
      <x:c r="B38" s="42" t="n">
        <x:v>43460.5</x:v>
      </x:c>
      <x:c r="C38" s="41" t="str">
        <x:v>H</x:v>
      </x:c>
      <x:c r="D38" s="41" t="str">
        <x:v>Indiana Pacers</x:v>
      </x:c>
      <x:c r="E38" s="41" t="str">
        <x:v>L</x:v>
      </x:c>
      <x:c r="F38" s="41" t="n">
        <x:v>121</x:v>
      </x:c>
      <x:c r="G38" s="41" t="n">
        <x:v>129</x:v>
      </x:c>
      <x:c r="H38" s="41" t="n">
        <x:f>F38-G38</x:f>
        <x:v>-8</x:v>
      </x:c>
      <x:c r="I38" s="41" t="n">
        <x:v>0</x:v>
      </x:c>
      <x:c r="J38" s="41" t="n">
        <x:f>240+25*I38</x:f>
        <x:v>240</x:v>
      </x:c>
      <x:c r="K38" s="41" t="n">
        <x:f>K37+IF(E38="W",1,0)</x:f>
        <x:v>9</x:v>
      </x:c>
      <x:c r="L38" s="41" t="n">
        <x:f>L37+IF(E38="L",1,0)</x:f>
        <x:v>24</x:v>
      </x:c>
      <x:c r="M38" s="43" t="n">
        <x:f>B38-B37-1</x:f>
        <x:v>2</x:v>
      </x:c>
      <x:c r="N38" s="41" t="b">
        <x:f>M38=0</x:f>
        <x:v>0</x:v>
      </x:c>
      <x:c r="O38" s="41" t="str">
        <x:v>ROSTER</x:v>
      </x:c>
      <x:c r="P38" s="44" t="b">
        <x:v>0</x:v>
      </x:c>
      <x:c r="Q38" s="45" t="str">
        <x:v>HOLD</x:v>
      </x:c>
      <x:c r="R38" s="45" t="n">
        <x:v>0</x:v>
      </x:c>
      <x:c r="S38" s="45" t="n">
        <x:v>0</x:v>
      </x:c>
      <x:c r="T38" s="45" t="n">
        <x:v>0</x:v>
      </x:c>
      <x:c r="U38" s="46" t="n">
        <x:f>R38-S38-T38</x:f>
        <x:v>0</x:v>
      </x:c>
      <x:c r="V38" s="46" t="str">
        <x:v>HOLD</x:v>
      </x:c>
      <x:c r="W38" s="46" t="str">
        <x:v>HOLD</x:v>
      </x:c>
      <x:c r="X38" s="46" t="str">
        <x:v>PENDING</x:v>
      </x:c>
      <x:c r="Y38" s="46" t="str">
        <x:v>S01/S02/S03</x:v>
      </x:c>
    </x:row>
    <x:row r="39">
      <x:c r="A39" s="41" t="n">
        <x:v>34</x:v>
      </x:c>
      <x:c r="B39" s="42" t="n">
        <x:v>43462.5</x:v>
      </x:c>
      <x:c r="C39" s="41" t="str">
        <x:v>A</x:v>
      </x:c>
      <x:c r="D39" s="41" t="str">
        <x:v>Minnesota Timberwolves</x:v>
      </x:c>
      <x:c r="E39" s="41" t="str">
        <x:v>W</x:v>
      </x:c>
      <x:c r="F39" s="41" t="n">
        <x:v>123</x:v>
      </x:c>
      <x:c r="G39" s="41" t="n">
        <x:v>120</x:v>
      </x:c>
      <x:c r="H39" s="41" t="n">
        <x:f>F39-G39</x:f>
        <x:v>3</x:v>
      </x:c>
      <x:c r="I39" s="41" t="n">
        <x:v>1</x:v>
      </x:c>
      <x:c r="J39" s="41" t="n">
        <x:f>240+25*I39</x:f>
        <x:v>265</x:v>
      </x:c>
      <x:c r="K39" s="41" t="n">
        <x:f>K38+IF(E39="W",1,0)</x:f>
        <x:v>10</x:v>
      </x:c>
      <x:c r="L39" s="41" t="n">
        <x:f>L38+IF(E39="L",1,0)</x:f>
        <x:v>24</x:v>
      </x:c>
      <x:c r="M39" s="43" t="n">
        <x:f>B39-B38-1</x:f>
        <x:v>1</x:v>
      </x:c>
      <x:c r="N39" s="41" t="b">
        <x:f>M39=0</x:f>
        <x:v>0</x:v>
      </x:c>
      <x:c r="O39" s="41" t="str">
        <x:v>ROSTER</x:v>
      </x:c>
      <x:c r="P39" s="44" t="b">
        <x:v>0</x:v>
      </x:c>
      <x:c r="Q39" s="45" t="str">
        <x:v>HOLD</x:v>
      </x:c>
      <x:c r="R39" s="45" t="n">
        <x:v>0</x:v>
      </x:c>
      <x:c r="S39" s="45" t="n">
        <x:v>0</x:v>
      </x:c>
      <x:c r="T39" s="45" t="n">
        <x:v>0</x:v>
      </x:c>
      <x:c r="U39" s="46" t="n">
        <x:f>R39-S39-T39</x:f>
        <x:v>0</x:v>
      </x:c>
      <x:c r="V39" s="46" t="str">
        <x:v>HOLD</x:v>
      </x:c>
      <x:c r="W39" s="46" t="str">
        <x:v>HOLD</x:v>
      </x:c>
      <x:c r="X39" s="46" t="str">
        <x:v>PENDING</x:v>
      </x:c>
      <x:c r="Y39" s="46" t="str">
        <x:v>S01/S02/S03</x:v>
      </x:c>
    </x:row>
    <x:row r="40">
      <x:c r="A40" s="41" t="n">
        <x:v>35</x:v>
      </x:c>
      <x:c r="B40" s="42" t="n">
        <x:v>43463.5</x:v>
      </x:c>
      <x:c r="C40" s="41" t="str">
        <x:v>H</x:v>
      </x:c>
      <x:c r="D40" s="41" t="str">
        <x:v>Cleveland Cavaliers</x:v>
      </x:c>
      <x:c r="E40" s="41" t="str">
        <x:v>W</x:v>
      </x:c>
      <x:c r="F40" s="41" t="n">
        <x:v>111</x:v>
      </x:c>
      <x:c r="G40" s="41" t="n">
        <x:v>108</x:v>
      </x:c>
      <x:c r="H40" s="41" t="n">
        <x:f>F40-G40</x:f>
        <x:v>3</x:v>
      </x:c>
      <x:c r="I40" s="41" t="n">
        <x:v>0</x:v>
      </x:c>
      <x:c r="J40" s="41" t="n">
        <x:f>240+25*I40</x:f>
        <x:v>240</x:v>
      </x:c>
      <x:c r="K40" s="41" t="n">
        <x:f>K39+IF(E40="W",1,0)</x:f>
        <x:v>11</x:v>
      </x:c>
      <x:c r="L40" s="41" t="n">
        <x:f>L39+IF(E40="L",1,0)</x:f>
        <x:v>24</x:v>
      </x:c>
      <x:c r="M40" s="43" t="n">
        <x:f>B40-B39-1</x:f>
        <x:v>0</x:v>
      </x:c>
      <x:c r="N40" s="41" t="b">
        <x:f>M40=0</x:f>
        <x:v>1</x:v>
      </x:c>
      <x:c r="O40" s="41" t="str">
        <x:v>ROSTER</x:v>
      </x:c>
      <x:c r="P40" s="44" t="b">
        <x:v>0</x:v>
      </x:c>
      <x:c r="Q40" s="45" t="str">
        <x:v>HOLD</x:v>
      </x:c>
      <x:c r="R40" s="45" t="n">
        <x:v>0</x:v>
      </x:c>
      <x:c r="S40" s="45" t="n">
        <x:v>0</x:v>
      </x:c>
      <x:c r="T40" s="45" t="n">
        <x:v>0</x:v>
      </x:c>
      <x:c r="U40" s="46" t="n">
        <x:f>R40-S40-T40</x:f>
        <x:v>0</x:v>
      </x:c>
      <x:c r="V40" s="46" t="str">
        <x:v>HOLD</x:v>
      </x:c>
      <x:c r="W40" s="46" t="str">
        <x:v>HOLD</x:v>
      </x:c>
      <x:c r="X40" s="46" t="str">
        <x:v>PENDING</x:v>
      </x:c>
      <x:c r="Y40" s="46" t="str">
        <x:v>S01/S02/S03</x:v>
      </x:c>
    </x:row>
    <x:row r="41">
      <x:c r="A41" s="41" t="n">
        <x:v>36</x:v>
      </x:c>
      <x:c r="B41" s="42" t="n">
        <x:v>43465.5</x:v>
      </x:c>
      <x:c r="C41" s="41" t="str">
        <x:v>A</x:v>
      </x:c>
      <x:c r="D41" s="41" t="str">
        <x:v>Indiana Pacers</x:v>
      </x:c>
      <x:c r="E41" s="41" t="str">
        <x:v>L</x:v>
      </x:c>
      <x:c r="F41" s="41" t="n">
        <x:v>108</x:v>
      </x:c>
      <x:c r="G41" s="41" t="n">
        <x:v>116</x:v>
      </x:c>
      <x:c r="H41" s="41" t="n">
        <x:f>F41-G41</x:f>
        <x:v>-8</x:v>
      </x:c>
      <x:c r="I41" s="41" t="n">
        <x:v>0</x:v>
      </x:c>
      <x:c r="J41" s="41" t="n">
        <x:f>240+25*I41</x:f>
        <x:v>240</x:v>
      </x:c>
      <x:c r="K41" s="41" t="n">
        <x:f>K40+IF(E41="W",1,0)</x:f>
        <x:v>11</x:v>
      </x:c>
      <x:c r="L41" s="41" t="n">
        <x:f>L40+IF(E41="L",1,0)</x:f>
        <x:v>25</x:v>
      </x:c>
      <x:c r="M41" s="43" t="n">
        <x:f>B41-B40-1</x:f>
        <x:v>1</x:v>
      </x:c>
      <x:c r="N41" s="41" t="b">
        <x:f>M41=0</x:f>
        <x:v>0</x:v>
      </x:c>
      <x:c r="O41" s="41" t="str">
        <x:v>ROSTER</x:v>
      </x:c>
      <x:c r="P41" s="44" t="b">
        <x:v>0</x:v>
      </x:c>
      <x:c r="Q41" s="45" t="str">
        <x:v>HOLD</x:v>
      </x:c>
      <x:c r="R41" s="45" t="n">
        <x:v>0</x:v>
      </x:c>
      <x:c r="S41" s="45" t="n">
        <x:v>0</x:v>
      </x:c>
      <x:c r="T41" s="45" t="n">
        <x:v>0</x:v>
      </x:c>
      <x:c r="U41" s="46" t="n">
        <x:f>R41-S41-T41</x:f>
        <x:v>0</x:v>
      </x:c>
      <x:c r="V41" s="46" t="str">
        <x:v>HOLD</x:v>
      </x:c>
      <x:c r="W41" s="46" t="str">
        <x:v>HOLD</x:v>
      </x:c>
      <x:c r="X41" s="46" t="str">
        <x:v>PENDING</x:v>
      </x:c>
      <x:c r="Y41" s="46" t="str">
        <x:v>S01/S02/S03</x:v>
      </x:c>
    </x:row>
    <x:row r="42">
      <x:c r="A42" s="41" t="n">
        <x:v>37</x:v>
      </x:c>
      <x:c r="B42" s="42" t="n">
        <x:v>43467.5</x:v>
      </x:c>
      <x:c r="C42" s="41" t="str">
        <x:v>A</x:v>
      </x:c>
      <x:c r="D42" s="41" t="str">
        <x:v>Washington Wizards</x:v>
      </x:c>
      <x:c r="E42" s="41" t="str">
        <x:v>L</x:v>
      </x:c>
      <x:c r="F42" s="41" t="n">
        <x:v>98</x:v>
      </x:c>
      <x:c r="G42" s="41" t="n">
        <x:v>114</x:v>
      </x:c>
      <x:c r="H42" s="41" t="n">
        <x:f>F42-G42</x:f>
        <x:v>-16</x:v>
      </x:c>
      <x:c r="I42" s="41" t="n">
        <x:v>0</x:v>
      </x:c>
      <x:c r="J42" s="41" t="n">
        <x:f>240+25*I42</x:f>
        <x:v>240</x:v>
      </x:c>
      <x:c r="K42" s="41" t="n">
        <x:f>K41+IF(E42="W",1,0)</x:f>
        <x:v>11</x:v>
      </x:c>
      <x:c r="L42" s="41" t="n">
        <x:f>L41+IF(E42="L",1,0)</x:f>
        <x:v>26</x:v>
      </x:c>
      <x:c r="M42" s="43" t="n">
        <x:f>B42-B41-1</x:f>
        <x:v>1</x:v>
      </x:c>
      <x:c r="N42" s="41" t="b">
        <x:f>M42=0</x:f>
        <x:v>0</x:v>
      </x:c>
      <x:c r="O42" s="41" t="str">
        <x:v>ROSTER</x:v>
      </x:c>
      <x:c r="P42" s="44" t="b">
        <x:v>0</x:v>
      </x:c>
      <x:c r="Q42" s="45" t="str">
        <x:v>HOLD</x:v>
      </x:c>
      <x:c r="R42" s="45" t="n">
        <x:v>0</x:v>
      </x:c>
      <x:c r="S42" s="45" t="n">
        <x:v>0</x:v>
      </x:c>
      <x:c r="T42" s="45" t="n">
        <x:v>0</x:v>
      </x:c>
      <x:c r="U42" s="46" t="n">
        <x:f>R42-S42-T42</x:f>
        <x:v>0</x:v>
      </x:c>
      <x:c r="V42" s="46" t="str">
        <x:v>HOLD</x:v>
      </x:c>
      <x:c r="W42" s="46" t="str">
        <x:v>HOLD</x:v>
      </x:c>
      <x:c r="X42" s="46" t="str">
        <x:v>PENDING</x:v>
      </x:c>
      <x:c r="Y42" s="46" t="str">
        <x:v>S01/S02/S03</x:v>
      </x:c>
    </x:row>
    <x:row r="43">
      <x:c r="A43" s="41" t="n">
        <x:v>38</x:v>
      </x:c>
      <x:c r="B43" s="42" t="n">
        <x:v>43469.5</x:v>
      </x:c>
      <x:c r="C43" s="41" t="str">
        <x:v>A</x:v>
      </x:c>
      <x:c r="D43" s="41" t="str">
        <x:v>Milwaukee Bucks</x:v>
      </x:c>
      <x:c r="E43" s="41" t="str">
        <x:v>L</x:v>
      </x:c>
      <x:c r="F43" s="41" t="n">
        <x:v>112</x:v>
      </x:c>
      <x:c r="G43" s="41" t="n">
        <x:v>144</x:v>
      </x:c>
      <x:c r="H43" s="41" t="n">
        <x:f>F43-G43</x:f>
        <x:v>-32</x:v>
      </x:c>
      <x:c r="I43" s="41" t="n">
        <x:v>0</x:v>
      </x:c>
      <x:c r="J43" s="41" t="n">
        <x:f>240+25*I43</x:f>
        <x:v>240</x:v>
      </x:c>
      <x:c r="K43" s="41" t="n">
        <x:f>K42+IF(E43="W",1,0)</x:f>
        <x:v>11</x:v>
      </x:c>
      <x:c r="L43" s="41" t="n">
        <x:f>L42+IF(E43="L",1,0)</x:f>
        <x:v>27</x:v>
      </x:c>
      <x:c r="M43" s="43" t="n">
        <x:f>B43-B42-1</x:f>
        <x:v>1</x:v>
      </x:c>
      <x:c r="N43" s="41" t="b">
        <x:f>M43=0</x:f>
        <x:v>0</x:v>
      </x:c>
      <x:c r="O43" s="41" t="str">
        <x:v>ROSTER</x:v>
      </x:c>
      <x:c r="P43" s="44" t="b">
        <x:v>0</x:v>
      </x:c>
      <x:c r="Q43" s="45" t="str">
        <x:v>HOLD</x:v>
      </x:c>
      <x:c r="R43" s="45" t="n">
        <x:v>0</x:v>
      </x:c>
      <x:c r="S43" s="45" t="n">
        <x:v>0</x:v>
      </x:c>
      <x:c r="T43" s="45" t="n">
        <x:v>0</x:v>
      </x:c>
      <x:c r="U43" s="46" t="n">
        <x:f>R43-S43-T43</x:f>
        <x:v>0</x:v>
      </x:c>
      <x:c r="V43" s="46" t="str">
        <x:v>HOLD</x:v>
      </x:c>
      <x:c r="W43" s="46" t="str">
        <x:v>HOLD</x:v>
      </x:c>
      <x:c r="X43" s="46" t="str">
        <x:v>PENDING</x:v>
      </x:c>
      <x:c r="Y43" s="46" t="str">
        <x:v>S01/S02/S03</x:v>
      </x:c>
    </x:row>
    <x:row r="44">
      <x:c r="A44" s="41" t="n">
        <x:v>39</x:v>
      </x:c>
      <x:c r="B44" s="42" t="n">
        <x:v>43471.5</x:v>
      </x:c>
      <x:c r="C44" s="41" t="str">
        <x:v>H</x:v>
      </x:c>
      <x:c r="D44" s="41" t="str">
        <x:v>Miami Heat</x:v>
      </x:c>
      <x:c r="E44" s="41" t="str">
        <x:v>W</x:v>
      </x:c>
      <x:c r="F44" s="41" t="n">
        <x:v>106</x:v>
      </x:c>
      <x:c r="G44" s="41" t="n">
        <x:v>82</x:v>
      </x:c>
      <x:c r="H44" s="41" t="n">
        <x:f>F44-G44</x:f>
        <x:v>24</x:v>
      </x:c>
      <x:c r="I44" s="41" t="n">
        <x:v>0</x:v>
      </x:c>
      <x:c r="J44" s="41" t="n">
        <x:f>240+25*I44</x:f>
        <x:v>240</x:v>
      </x:c>
      <x:c r="K44" s="41" t="n">
        <x:f>K43+IF(E44="W",1,0)</x:f>
        <x:v>12</x:v>
      </x:c>
      <x:c r="L44" s="41" t="n">
        <x:f>L43+IF(E44="L",1,0)</x:f>
        <x:v>27</x:v>
      </x:c>
      <x:c r="M44" s="43" t="n">
        <x:f>B44-B43-1</x:f>
        <x:v>1</x:v>
      </x:c>
      <x:c r="N44" s="41" t="b">
        <x:f>M44=0</x:f>
        <x:v>0</x:v>
      </x:c>
      <x:c r="O44" s="41" t="str">
        <x:v>ROSTER</x:v>
      </x:c>
      <x:c r="P44" s="44" t="b">
        <x:v>0</x:v>
      </x:c>
      <x:c r="Q44" s="45" t="str">
        <x:v>HOLD</x:v>
      </x:c>
      <x:c r="R44" s="45" t="n">
        <x:v>0</x:v>
      </x:c>
      <x:c r="S44" s="45" t="n">
        <x:v>0</x:v>
      </x:c>
      <x:c r="T44" s="45" t="n">
        <x:v>0</x:v>
      </x:c>
      <x:c r="U44" s="46" t="n">
        <x:f>R44-S44-T44</x:f>
        <x:v>0</x:v>
      </x:c>
      <x:c r="V44" s="46" t="str">
        <x:v>HOLD</x:v>
      </x:c>
      <x:c r="W44" s="46" t="str">
        <x:v>HOLD</x:v>
      </x:c>
      <x:c r="X44" s="46" t="str">
        <x:v>PENDING</x:v>
      </x:c>
      <x:c r="Y44" s="46" t="str">
        <x:v>S01/S02/S03</x:v>
      </x:c>
    </x:row>
    <x:row r="45">
      <x:c r="A45" s="41" t="n">
        <x:v>40</x:v>
      </x:c>
      <x:c r="B45" s="42" t="n">
        <x:v>43473.5</x:v>
      </x:c>
      <x:c r="C45" s="41" t="str">
        <x:v>A</x:v>
      </x:c>
      <x:c r="D45" s="41" t="str">
        <x:v>Toronto Raptors</x:v>
      </x:c>
      <x:c r="E45" s="41" t="str">
        <x:v>L</x:v>
      </x:c>
      <x:c r="F45" s="41" t="n">
        <x:v>101</x:v>
      </x:c>
      <x:c r="G45" s="41" t="n">
        <x:v>104</x:v>
      </x:c>
      <x:c r="H45" s="41" t="n">
        <x:f>F45-G45</x:f>
        <x:v>-3</x:v>
      </x:c>
      <x:c r="I45" s="41" t="n">
        <x:v>0</x:v>
      </x:c>
      <x:c r="J45" s="41" t="n">
        <x:f>240+25*I45</x:f>
        <x:v>240</x:v>
      </x:c>
      <x:c r="K45" s="41" t="n">
        <x:f>K44+IF(E45="W",1,0)</x:f>
        <x:v>12</x:v>
      </x:c>
      <x:c r="L45" s="41" t="n">
        <x:f>L44+IF(E45="L",1,0)</x:f>
        <x:v>28</x:v>
      </x:c>
      <x:c r="M45" s="43" t="n">
        <x:f>B45-B44-1</x:f>
        <x:v>1</x:v>
      </x:c>
      <x:c r="N45" s="41" t="b">
        <x:f>M45=0</x:f>
        <x:v>0</x:v>
      </x:c>
      <x:c r="O45" s="41" t="str">
        <x:v>ROSTER</x:v>
      </x:c>
      <x:c r="P45" s="44" t="b">
        <x:v>0</x:v>
      </x:c>
      <x:c r="Q45" s="45" t="str">
        <x:v>HOLD</x:v>
      </x:c>
      <x:c r="R45" s="45" t="n">
        <x:v>0</x:v>
      </x:c>
      <x:c r="S45" s="45" t="n">
        <x:v>0</x:v>
      </x:c>
      <x:c r="T45" s="45" t="n">
        <x:v>0</x:v>
      </x:c>
      <x:c r="U45" s="46" t="n">
        <x:f>R45-S45-T45</x:f>
        <x:v>0</x:v>
      </x:c>
      <x:c r="V45" s="46" t="str">
        <x:v>HOLD</x:v>
      </x:c>
      <x:c r="W45" s="46" t="str">
        <x:v>HOLD</x:v>
      </x:c>
      <x:c r="X45" s="46" t="str">
        <x:v>PENDING</x:v>
      </x:c>
      <x:c r="Y45" s="46" t="str">
        <x:v>S01/S02/S03</x:v>
      </x:c>
    </x:row>
    <x:row r="46">
      <x:c r="A46" s="41" t="n">
        <x:v>41</x:v>
      </x:c>
      <x:c r="B46" s="42" t="n">
        <x:v>43474.5</x:v>
      </x:c>
      <x:c r="C46" s="41" t="str">
        <x:v>A</x:v>
      </x:c>
      <x:c r="D46" s="41" t="str">
        <x:v>Brooklyn Nets</x:v>
      </x:c>
      <x:c r="E46" s="41" t="str">
        <x:v>L</x:v>
      </x:c>
      <x:c r="F46" s="41" t="n">
        <x:v>100</x:v>
      </x:c>
      <x:c r="G46" s="41" t="n">
        <x:v>116</x:v>
      </x:c>
      <x:c r="H46" s="41" t="n">
        <x:f>F46-G46</x:f>
        <x:v>-16</x:v>
      </x:c>
      <x:c r="I46" s="41" t="n">
        <x:v>0</x:v>
      </x:c>
      <x:c r="J46" s="41" t="n">
        <x:f>240+25*I46</x:f>
        <x:v>240</x:v>
      </x:c>
      <x:c r="K46" s="41" t="n">
        <x:f>K45+IF(E46="W",1,0)</x:f>
        <x:v>12</x:v>
      </x:c>
      <x:c r="L46" s="41" t="n">
        <x:f>L45+IF(E46="L",1,0)</x:f>
        <x:v>29</x:v>
      </x:c>
      <x:c r="M46" s="43" t="n">
        <x:f>B46-B45-1</x:f>
        <x:v>0</x:v>
      </x:c>
      <x:c r="N46" s="41" t="b">
        <x:f>M46=0</x:f>
        <x:v>1</x:v>
      </x:c>
      <x:c r="O46" s="41" t="str">
        <x:v>ROSTER</x:v>
      </x:c>
      <x:c r="P46" s="44" t="b">
        <x:v>0</x:v>
      </x:c>
      <x:c r="Q46" s="45" t="str">
        <x:v>HOLD</x:v>
      </x:c>
      <x:c r="R46" s="45" t="n">
        <x:v>0</x:v>
      </x:c>
      <x:c r="S46" s="45" t="n">
        <x:v>0</x:v>
      </x:c>
      <x:c r="T46" s="45" t="n">
        <x:v>0</x:v>
      </x:c>
      <x:c r="U46" s="46" t="n">
        <x:f>R46-S46-T46</x:f>
        <x:v>0</x:v>
      </x:c>
      <x:c r="V46" s="46" t="str">
        <x:v>HOLD</x:v>
      </x:c>
      <x:c r="W46" s="46" t="str">
        <x:v>HOLD</x:v>
      </x:c>
      <x:c r="X46" s="46" t="str">
        <x:v>PENDING</x:v>
      </x:c>
      <x:c r="Y46" s="46" t="str">
        <x:v>S01/S02/S03</x:v>
      </x:c>
    </x:row>
    <x:row r="47">
      <x:c r="A47" s="41" t="n">
        <x:v>42</x:v>
      </x:c>
      <x:c r="B47" s="42" t="n">
        <x:v>43476.5</x:v>
      </x:c>
      <x:c r="C47" s="41" t="str">
        <x:v>A</x:v>
      </x:c>
      <x:c r="D47" s="41" t="str">
        <x:v>Philadelphia 76ers</x:v>
      </x:c>
      <x:c r="E47" s="41" t="str">
        <x:v>W</x:v>
      </x:c>
      <x:c r="F47" s="41" t="n">
        <x:v>123</x:v>
      </x:c>
      <x:c r="G47" s="41" t="n">
        <x:v>121</x:v>
      </x:c>
      <x:c r="H47" s="41" t="n">
        <x:f>F47-G47</x:f>
        <x:v>2</x:v>
      </x:c>
      <x:c r="I47" s="41" t="n">
        <x:v>0</x:v>
      </x:c>
      <x:c r="J47" s="41" t="n">
        <x:f>240+25*I47</x:f>
        <x:v>240</x:v>
      </x:c>
      <x:c r="K47" s="41" t="n">
        <x:f>K46+IF(E47="W",1,0)</x:f>
        <x:v>13</x:v>
      </x:c>
      <x:c r="L47" s="41" t="n">
        <x:f>L46+IF(E47="L",1,0)</x:f>
        <x:v>29</x:v>
      </x:c>
      <x:c r="M47" s="43" t="n">
        <x:f>B47-B46-1</x:f>
        <x:v>1</x:v>
      </x:c>
      <x:c r="N47" s="41" t="b">
        <x:f>M47=0</x:f>
        <x:v>0</x:v>
      </x:c>
      <x:c r="O47" s="41" t="str">
        <x:v>ROSTER</x:v>
      </x:c>
      <x:c r="P47" s="44" t="b">
        <x:v>0</x:v>
      </x:c>
      <x:c r="Q47" s="45" t="str">
        <x:v>HOLD</x:v>
      </x:c>
      <x:c r="R47" s="45" t="n">
        <x:v>0</x:v>
      </x:c>
      <x:c r="S47" s="45" t="n">
        <x:v>0</x:v>
      </x:c>
      <x:c r="T47" s="45" t="n">
        <x:v>0</x:v>
      </x:c>
      <x:c r="U47" s="46" t="n">
        <x:f>R47-S47-T47</x:f>
        <x:v>0</x:v>
      </x:c>
      <x:c r="V47" s="46" t="str">
        <x:v>HOLD</x:v>
      </x:c>
      <x:c r="W47" s="46" t="str">
        <x:v>HOLD</x:v>
      </x:c>
      <x:c r="X47" s="46" t="str">
        <x:v>PENDING</x:v>
      </x:c>
      <x:c r="Y47" s="46" t="str">
        <x:v>S01/S02/S03</x:v>
      </x:c>
    </x:row>
    <x:row r="48">
      <x:c r="A48" s="41" t="n">
        <x:v>43</x:v>
      </x:c>
      <x:c r="B48" s="42" t="n">
        <x:v>43478.5</x:v>
      </x:c>
      <x:c r="C48" s="41" t="str">
        <x:v>H</x:v>
      </x:c>
      <x:c r="D48" s="41" t="str">
        <x:v>Milwaukee Bucks</x:v>
      </x:c>
      <x:c r="E48" s="41" t="str">
        <x:v>L</x:v>
      </x:c>
      <x:c r="F48" s="41" t="n">
        <x:v>114</x:v>
      </x:c>
      <x:c r="G48" s="41" t="n">
        <x:v>133</x:v>
      </x:c>
      <x:c r="H48" s="41" t="n">
        <x:f>F48-G48</x:f>
        <x:v>-19</x:v>
      </x:c>
      <x:c r="I48" s="41" t="n">
        <x:v>0</x:v>
      </x:c>
      <x:c r="J48" s="41" t="n">
        <x:f>240+25*I48</x:f>
        <x:v>240</x:v>
      </x:c>
      <x:c r="K48" s="41" t="n">
        <x:f>K47+IF(E48="W",1,0)</x:f>
        <x:v>13</x:v>
      </x:c>
      <x:c r="L48" s="41" t="n">
        <x:f>L47+IF(E48="L",1,0)</x:f>
        <x:v>30</x:v>
      </x:c>
      <x:c r="M48" s="43" t="n">
        <x:f>B48-B47-1</x:f>
        <x:v>1</x:v>
      </x:c>
      <x:c r="N48" s="41" t="b">
        <x:f>M48=0</x:f>
        <x:v>0</x:v>
      </x:c>
      <x:c r="O48" s="41" t="str">
        <x:v>ROSTER</x:v>
      </x:c>
      <x:c r="P48" s="44" t="b">
        <x:v>0</x:v>
      </x:c>
      <x:c r="Q48" s="45" t="str">
        <x:v>HOLD</x:v>
      </x:c>
      <x:c r="R48" s="45" t="n">
        <x:v>0</x:v>
      </x:c>
      <x:c r="S48" s="45" t="n">
        <x:v>0</x:v>
      </x:c>
      <x:c r="T48" s="45" t="n">
        <x:v>0</x:v>
      </x:c>
      <x:c r="U48" s="46" t="n">
        <x:f>R48-S48-T48</x:f>
        <x:v>0</x:v>
      </x:c>
      <x:c r="V48" s="46" t="str">
        <x:v>HOLD</x:v>
      </x:c>
      <x:c r="W48" s="46" t="str">
        <x:v>HOLD</x:v>
      </x:c>
      <x:c r="X48" s="46" t="str">
        <x:v>PENDING</x:v>
      </x:c>
      <x:c r="Y48" s="46" t="str">
        <x:v>S01/S02/S03</x:v>
      </x:c>
    </x:row>
    <x:row r="49">
      <x:c r="A49" s="41" t="n">
        <x:v>44</x:v>
      </x:c>
      <x:c r="B49" s="42" t="n">
        <x:v>43480.5</x:v>
      </x:c>
      <x:c r="C49" s="41" t="str">
        <x:v>H</x:v>
      </x:c>
      <x:c r="D49" s="41" t="str">
        <x:v>Oklahoma City Thunder</x:v>
      </x:c>
      <x:c r="E49" s="41" t="str">
        <x:v>W</x:v>
      </x:c>
      <x:c r="F49" s="41" t="n">
        <x:v>142</x:v>
      </x:c>
      <x:c r="G49" s="41" t="n">
        <x:v>126</x:v>
      </x:c>
      <x:c r="H49" s="41" t="n">
        <x:f>F49-G49</x:f>
        <x:v>16</x:v>
      </x:c>
      <x:c r="I49" s="41" t="n">
        <x:v>0</x:v>
      </x:c>
      <x:c r="J49" s="41" t="n">
        <x:f>240+25*I49</x:f>
        <x:v>240</x:v>
      </x:c>
      <x:c r="K49" s="41" t="n">
        <x:f>K48+IF(E49="W",1,0)</x:f>
        <x:v>14</x:v>
      </x:c>
      <x:c r="L49" s="41" t="n">
        <x:f>L48+IF(E49="L",1,0)</x:f>
        <x:v>30</x:v>
      </x:c>
      <x:c r="M49" s="43" t="n">
        <x:f>B49-B48-1</x:f>
        <x:v>1</x:v>
      </x:c>
      <x:c r="N49" s="41" t="b">
        <x:f>M49=0</x:f>
        <x:v>0</x:v>
      </x:c>
      <x:c r="O49" s="41" t="str">
        <x:v>ROSTER</x:v>
      </x:c>
      <x:c r="P49" s="44" t="b">
        <x:v>0</x:v>
      </x:c>
      <x:c r="Q49" s="45" t="str">
        <x:v>HOLD</x:v>
      </x:c>
      <x:c r="R49" s="45" t="n">
        <x:v>0</x:v>
      </x:c>
      <x:c r="S49" s="45" t="n">
        <x:v>0</x:v>
      </x:c>
      <x:c r="T49" s="45" t="n">
        <x:v>0</x:v>
      </x:c>
      <x:c r="U49" s="46" t="n">
        <x:f>R49-S49-T49</x:f>
        <x:v>0</x:v>
      </x:c>
      <x:c r="V49" s="46" t="str">
        <x:v>HOLD</x:v>
      </x:c>
      <x:c r="W49" s="46" t="str">
        <x:v>HOLD</x:v>
      </x:c>
      <x:c r="X49" s="46" t="str">
        <x:v>PENDING</x:v>
      </x:c>
      <x:c r="Y49" s="46" t="str">
        <x:v>S01/S02/S03</x:v>
      </x:c>
    </x:row>
    <x:row r="50">
      <x:c r="A50" s="41" t="n">
        <x:v>45</x:v>
      </x:c>
      <x:c r="B50" s="42" t="n">
        <x:v>43484.5</x:v>
      </x:c>
      <x:c r="C50" s="41" t="str">
        <x:v>H</x:v>
      </x:c>
      <x:c r="D50" s="41" t="str">
        <x:v>Boston Celtics</x:v>
      </x:c>
      <x:c r="E50" s="41" t="str">
        <x:v>L</x:v>
      </x:c>
      <x:c r="F50" s="41" t="n">
        <x:v>105</x:v>
      </x:c>
      <x:c r="G50" s="41" t="n">
        <x:v>113</x:v>
      </x:c>
      <x:c r="H50" s="41" t="n">
        <x:f>F50-G50</x:f>
        <x:v>-8</x:v>
      </x:c>
      <x:c r="I50" s="41" t="n">
        <x:v>0</x:v>
      </x:c>
      <x:c r="J50" s="41" t="n">
        <x:f>240+25*I50</x:f>
        <x:v>240</x:v>
      </x:c>
      <x:c r="K50" s="41" t="n">
        <x:f>K49+IF(E50="W",1,0)</x:f>
        <x:v>14</x:v>
      </x:c>
      <x:c r="L50" s="41" t="n">
        <x:f>L49+IF(E50="L",1,0)</x:f>
        <x:v>31</x:v>
      </x:c>
      <x:c r="M50" s="43" t="n">
        <x:f>B50-B49-1</x:f>
        <x:v>3</x:v>
      </x:c>
      <x:c r="N50" s="41" t="b">
        <x:f>M50=0</x:f>
        <x:v>0</x:v>
      </x:c>
      <x:c r="O50" s="41" t="str">
        <x:v>ROSTER</x:v>
      </x:c>
      <x:c r="P50" s="44" t="b">
        <x:v>0</x:v>
      </x:c>
      <x:c r="Q50" s="45" t="str">
        <x:v>HOLD</x:v>
      </x:c>
      <x:c r="R50" s="45" t="n">
        <x:v>0</x:v>
      </x:c>
      <x:c r="S50" s="45" t="n">
        <x:v>0</x:v>
      </x:c>
      <x:c r="T50" s="45" t="n">
        <x:v>0</x:v>
      </x:c>
      <x:c r="U50" s="46" t="n">
        <x:f>R50-S50-T50</x:f>
        <x:v>0</x:v>
      </x:c>
      <x:c r="V50" s="46" t="str">
        <x:v>HOLD</x:v>
      </x:c>
      <x:c r="W50" s="46" t="str">
        <x:v>HOLD</x:v>
      </x:c>
      <x:c r="X50" s="46" t="str">
        <x:v>PENDING</x:v>
      </x:c>
      <x:c r="Y50" s="46" t="str">
        <x:v>S01/S02/S03</x:v>
      </x:c>
    </x:row>
    <x:row r="51">
      <x:c r="A51" s="41" t="n">
        <x:v>46</x:v>
      </x:c>
      <x:c r="B51" s="42" t="n">
        <x:v>43486.5</x:v>
      </x:c>
      <x:c r="C51" s="41" t="str">
        <x:v>H</x:v>
      </x:c>
      <x:c r="D51" s="41" t="str">
        <x:v>Orlando Magic</x:v>
      </x:c>
      <x:c r="E51" s="41" t="str">
        <x:v>L</x:v>
      </x:c>
      <x:c r="F51" s="41" t="n">
        <x:v>103</x:v>
      </x:c>
      <x:c r="G51" s="41" t="n">
        <x:v>122</x:v>
      </x:c>
      <x:c r="H51" s="41" t="n">
        <x:f>F51-G51</x:f>
        <x:v>-19</x:v>
      </x:c>
      <x:c r="I51" s="41" t="n">
        <x:v>0</x:v>
      </x:c>
      <x:c r="J51" s="41" t="n">
        <x:f>240+25*I51</x:f>
        <x:v>240</x:v>
      </x:c>
      <x:c r="K51" s="41" t="n">
        <x:f>K50+IF(E51="W",1,0)</x:f>
        <x:v>14</x:v>
      </x:c>
      <x:c r="L51" s="41" t="n">
        <x:f>L50+IF(E51="L",1,0)</x:f>
        <x:v>32</x:v>
      </x:c>
      <x:c r="M51" s="43" t="n">
        <x:f>B51-B50-1</x:f>
        <x:v>1</x:v>
      </x:c>
      <x:c r="N51" s="41" t="b">
        <x:f>M51=0</x:f>
        <x:v>0</x:v>
      </x:c>
      <x:c r="O51" s="41" t="str">
        <x:v>ROSTER</x:v>
      </x:c>
      <x:c r="P51" s="44" t="b">
        <x:v>0</x:v>
      </x:c>
      <x:c r="Q51" s="45" t="str">
        <x:v>HOLD</x:v>
      </x:c>
      <x:c r="R51" s="45" t="n">
        <x:v>0</x:v>
      </x:c>
      <x:c r="S51" s="45" t="n">
        <x:v>0</x:v>
      </x:c>
      <x:c r="T51" s="45" t="n">
        <x:v>0</x:v>
      </x:c>
      <x:c r="U51" s="46" t="n">
        <x:f>R51-S51-T51</x:f>
        <x:v>0</x:v>
      </x:c>
      <x:c r="V51" s="46" t="str">
        <x:v>HOLD</x:v>
      </x:c>
      <x:c r="W51" s="46" t="str">
        <x:v>HOLD</x:v>
      </x:c>
      <x:c r="X51" s="46" t="str">
        <x:v>PENDING</x:v>
      </x:c>
      <x:c r="Y51" s="46" t="str">
        <x:v>S01/S02/S03</x:v>
      </x:c>
    </x:row>
    <x:row r="52">
      <x:c r="A52" s="41" t="n">
        <x:v>47</x:v>
      </x:c>
      <x:c r="B52" s="42" t="n">
        <x:v>43488.5</x:v>
      </x:c>
      <x:c r="C52" s="41" t="str">
        <x:v>A</x:v>
      </x:c>
      <x:c r="D52" s="41" t="str">
        <x:v>Chicago Bulls</x:v>
      </x:c>
      <x:c r="E52" s="41" t="str">
        <x:v>W</x:v>
      </x:c>
      <x:c r="F52" s="41" t="n">
        <x:v>121</x:v>
      </x:c>
      <x:c r="G52" s="41" t="n">
        <x:v>101</x:v>
      </x:c>
      <x:c r="H52" s="41" t="n">
        <x:f>F52-G52</x:f>
        <x:v>20</x:v>
      </x:c>
      <x:c r="I52" s="41" t="n">
        <x:v>0</x:v>
      </x:c>
      <x:c r="J52" s="41" t="n">
        <x:f>240+25*I52</x:f>
        <x:v>240</x:v>
      </x:c>
      <x:c r="K52" s="41" t="n">
        <x:f>K51+IF(E52="W",1,0)</x:f>
        <x:v>15</x:v>
      </x:c>
      <x:c r="L52" s="41" t="n">
        <x:f>L51+IF(E52="L",1,0)</x:f>
        <x:v>32</x:v>
      </x:c>
      <x:c r="M52" s="43" t="n">
        <x:f>B52-B51-1</x:f>
        <x:v>1</x:v>
      </x:c>
      <x:c r="N52" s="41" t="b">
        <x:f>M52=0</x:f>
        <x:v>0</x:v>
      </x:c>
      <x:c r="O52" s="41" t="str">
        <x:v>ROSTER</x:v>
      </x:c>
      <x:c r="P52" s="44" t="b">
        <x:v>0</x:v>
      </x:c>
      <x:c r="Q52" s="45" t="str">
        <x:v>HOLD</x:v>
      </x:c>
      <x:c r="R52" s="45" t="n">
        <x:v>0</x:v>
      </x:c>
      <x:c r="S52" s="45" t="n">
        <x:v>0</x:v>
      </x:c>
      <x:c r="T52" s="45" t="n">
        <x:v>0</x:v>
      </x:c>
      <x:c r="U52" s="46" t="n">
        <x:f>R52-S52-T52</x:f>
        <x:v>0</x:v>
      </x:c>
      <x:c r="V52" s="46" t="str">
        <x:v>HOLD</x:v>
      </x:c>
      <x:c r="W52" s="46" t="str">
        <x:v>HOLD</x:v>
      </x:c>
      <x:c r="X52" s="46" t="str">
        <x:v>PENDING</x:v>
      </x:c>
      <x:c r="Y52" s="46" t="str">
        <x:v>S01/S02/S03</x:v>
      </x:c>
    </x:row>
    <x:row r="53">
      <x:c r="A53" s="41" t="n">
        <x:v>48</x:v>
      </x:c>
      <x:c r="B53" s="42" t="n">
        <x:v>43491.5</x:v>
      </x:c>
      <x:c r="C53" s="41" t="str">
        <x:v>A</x:v>
      </x:c>
      <x:c r="D53" s="41" t="str">
        <x:v>Portland Trail Blazers</x:v>
      </x:c>
      <x:c r="E53" s="41" t="str">
        <x:v>L</x:v>
      </x:c>
      <x:c r="F53" s="41" t="n">
        <x:v>111</x:v>
      </x:c>
      <x:c r="G53" s="41" t="n">
        <x:v>120</x:v>
      </x:c>
      <x:c r="H53" s="41" t="n">
        <x:f>F53-G53</x:f>
        <x:v>-9</x:v>
      </x:c>
      <x:c r="I53" s="41" t="n">
        <x:v>0</x:v>
      </x:c>
      <x:c r="J53" s="41" t="n">
        <x:f>240+25*I53</x:f>
        <x:v>240</x:v>
      </x:c>
      <x:c r="K53" s="41" t="n">
        <x:f>K52+IF(E53="W",1,0)</x:f>
        <x:v>15</x:v>
      </x:c>
      <x:c r="L53" s="41" t="n">
        <x:f>L52+IF(E53="L",1,0)</x:f>
        <x:v>33</x:v>
      </x:c>
      <x:c r="M53" s="43" t="n">
        <x:f>B53-B52-1</x:f>
        <x:v>2</x:v>
      </x:c>
      <x:c r="N53" s="41" t="b">
        <x:f>M53=0</x:f>
        <x:v>0</x:v>
      </x:c>
      <x:c r="O53" s="41" t="str">
        <x:v>ROSTER</x:v>
      </x:c>
      <x:c r="P53" s="44" t="b">
        <x:v>0</x:v>
      </x:c>
      <x:c r="Q53" s="45" t="str">
        <x:v>HOLD</x:v>
      </x:c>
      <x:c r="R53" s="45" t="n">
        <x:v>0</x:v>
      </x:c>
      <x:c r="S53" s="45" t="n">
        <x:v>0</x:v>
      </x:c>
      <x:c r="T53" s="45" t="n">
        <x:v>0</x:v>
      </x:c>
      <x:c r="U53" s="46" t="n">
        <x:f>R53-S53-T53</x:f>
        <x:v>0</x:v>
      </x:c>
      <x:c r="V53" s="46" t="str">
        <x:v>HOLD</x:v>
      </x:c>
      <x:c r="W53" s="46" t="str">
        <x:v>HOLD</x:v>
      </x:c>
      <x:c r="X53" s="46" t="str">
        <x:v>PENDING</x:v>
      </x:c>
      <x:c r="Y53" s="46" t="str">
        <x:v>S01/S02/S03</x:v>
      </x:c>
    </x:row>
    <x:row r="54">
      <x:c r="A54" s="41" t="n">
        <x:v>49</x:v>
      </x:c>
      <x:c r="B54" s="42" t="n">
        <x:v>43493.5</x:v>
      </x:c>
      <x:c r="C54" s="41" t="str">
        <x:v>A</x:v>
      </x:c>
      <x:c r="D54" s="41" t="str">
        <x:v>Los Angeles Clippers</x:v>
      </x:c>
      <x:c r="E54" s="41" t="str">
        <x:v>W</x:v>
      </x:c>
      <x:c r="F54" s="41" t="n">
        <x:v>123</x:v>
      </x:c>
      <x:c r="G54" s="41" t="n">
        <x:v>118</x:v>
      </x:c>
      <x:c r="H54" s="41" t="n">
        <x:f>F54-G54</x:f>
        <x:v>5</x:v>
      </x:c>
      <x:c r="I54" s="41" t="n">
        <x:v>0</x:v>
      </x:c>
      <x:c r="J54" s="41" t="n">
        <x:f>240+25*I54</x:f>
        <x:v>240</x:v>
      </x:c>
      <x:c r="K54" s="41" t="n">
        <x:f>K53+IF(E54="W",1,0)</x:f>
        <x:v>16</x:v>
      </x:c>
      <x:c r="L54" s="41" t="n">
        <x:f>L53+IF(E54="L",1,0)</x:f>
        <x:v>33</x:v>
      </x:c>
      <x:c r="M54" s="43" t="n">
        <x:f>B54-B53-1</x:f>
        <x:v>1</x:v>
      </x:c>
      <x:c r="N54" s="41" t="b">
        <x:f>M54=0</x:f>
        <x:v>0</x:v>
      </x:c>
      <x:c r="O54" s="41" t="str">
        <x:v>ROSTER</x:v>
      </x:c>
      <x:c r="P54" s="44" t="b">
        <x:v>0</x:v>
      </x:c>
      <x:c r="Q54" s="45" t="str">
        <x:v>HOLD</x:v>
      </x:c>
      <x:c r="R54" s="45" t="n">
        <x:v>0</x:v>
      </x:c>
      <x:c r="S54" s="45" t="n">
        <x:v>0</x:v>
      </x:c>
      <x:c r="T54" s="45" t="n">
        <x:v>0</x:v>
      </x:c>
      <x:c r="U54" s="46" t="n">
        <x:f>R54-S54-T54</x:f>
        <x:v>0</x:v>
      </x:c>
      <x:c r="V54" s="46" t="str">
        <x:v>HOLD</x:v>
      </x:c>
      <x:c r="W54" s="46" t="str">
        <x:v>HOLD</x:v>
      </x:c>
      <x:c r="X54" s="46" t="str">
        <x:v>PENDING</x:v>
      </x:c>
      <x:c r="Y54" s="46" t="str">
        <x:v>S01/S02/S03</x:v>
      </x:c>
    </x:row>
    <x:row r="55">
      <x:c r="A55" s="41" t="n">
        <x:v>50</x:v>
      </x:c>
      <x:c r="B55" s="42" t="n">
        <x:v>43495.5</x:v>
      </x:c>
      <x:c r="C55" s="41" t="str">
        <x:v>A</x:v>
      </x:c>
      <x:c r="D55" s="41" t="str">
        <x:v>Sacramento Kings</x:v>
      </x:c>
      <x:c r="E55" s="41" t="str">
        <x:v>L</x:v>
      </x:c>
      <x:c r="F55" s="41" t="n">
        <x:v>113</x:v>
      </x:c>
      <x:c r="G55" s="41" t="n">
        <x:v>135</x:v>
      </x:c>
      <x:c r="H55" s="41" t="n">
        <x:f>F55-G55</x:f>
        <x:v>-22</x:v>
      </x:c>
      <x:c r="I55" s="41" t="n">
        <x:v>0</x:v>
      </x:c>
      <x:c r="J55" s="41" t="n">
        <x:f>240+25*I55</x:f>
        <x:v>240</x:v>
      </x:c>
      <x:c r="K55" s="41" t="n">
        <x:f>K54+IF(E55="W",1,0)</x:f>
        <x:v>16</x:v>
      </x:c>
      <x:c r="L55" s="41" t="n">
        <x:f>L54+IF(E55="L",1,0)</x:f>
        <x:v>34</x:v>
      </x:c>
      <x:c r="M55" s="43" t="n">
        <x:f>B55-B54-1</x:f>
        <x:v>1</x:v>
      </x:c>
      <x:c r="N55" s="41" t="b">
        <x:f>M55=0</x:f>
        <x:v>0</x:v>
      </x:c>
      <x:c r="O55" s="41" t="str">
        <x:v>ROSTER</x:v>
      </x:c>
      <x:c r="P55" s="44" t="b">
        <x:v>0</x:v>
      </x:c>
      <x:c r="Q55" s="45" t="str">
        <x:v>HOLD</x:v>
      </x:c>
      <x:c r="R55" s="45" t="n">
        <x:v>0</x:v>
      </x:c>
      <x:c r="S55" s="45" t="n">
        <x:v>0</x:v>
      </x:c>
      <x:c r="T55" s="45" t="n">
        <x:v>0</x:v>
      </x:c>
      <x:c r="U55" s="46" t="n">
        <x:f>R55-S55-T55</x:f>
        <x:v>0</x:v>
      </x:c>
      <x:c r="V55" s="46" t="str">
        <x:v>HOLD</x:v>
      </x:c>
      <x:c r="W55" s="46" t="str">
        <x:v>HOLD</x:v>
      </x:c>
      <x:c r="X55" s="46" t="str">
        <x:v>PENDING</x:v>
      </x:c>
      <x:c r="Y55" s="46" t="str">
        <x:v>S01/S02/S03</x:v>
      </x:c>
    </x:row>
    <x:row r="56">
      <x:c r="A56" s="41" t="n">
        <x:v>51</x:v>
      </x:c>
      <x:c r="B56" s="42" t="n">
        <x:v>43497.5</x:v>
      </x:c>
      <x:c r="C56" s="41" t="str">
        <x:v>A</x:v>
      </x:c>
      <x:c r="D56" s="41" t="str">
        <x:v>Utah Jazz</x:v>
      </x:c>
      <x:c r="E56" s="41" t="str">
        <x:v>L</x:v>
      </x:c>
      <x:c r="F56" s="41" t="n">
        <x:v>112</x:v>
      </x:c>
      <x:c r="G56" s="41" t="n">
        <x:v>128</x:v>
      </x:c>
      <x:c r="H56" s="41" t="n">
        <x:f>F56-G56</x:f>
        <x:v>-16</x:v>
      </x:c>
      <x:c r="I56" s="41" t="n">
        <x:v>0</x:v>
      </x:c>
      <x:c r="J56" s="41" t="n">
        <x:f>240+25*I56</x:f>
        <x:v>240</x:v>
      </x:c>
      <x:c r="K56" s="41" t="n">
        <x:f>K55+IF(E56="W",1,0)</x:f>
        <x:v>16</x:v>
      </x:c>
      <x:c r="L56" s="41" t="n">
        <x:f>L55+IF(E56="L",1,0)</x:f>
        <x:v>35</x:v>
      </x:c>
      <x:c r="M56" s="43" t="n">
        <x:f>B56-B55-1</x:f>
        <x:v>1</x:v>
      </x:c>
      <x:c r="N56" s="41" t="b">
        <x:f>M56=0</x:f>
        <x:v>0</x:v>
      </x:c>
      <x:c r="O56" s="41" t="str">
        <x:v>ROSTER</x:v>
      </x:c>
      <x:c r="P56" s="44" t="b">
        <x:v>0</x:v>
      </x:c>
      <x:c r="Q56" s="45" t="str">
        <x:v>HOLD</x:v>
      </x:c>
      <x:c r="R56" s="45" t="n">
        <x:v>0</x:v>
      </x:c>
      <x:c r="S56" s="45" t="n">
        <x:v>0</x:v>
      </x:c>
      <x:c r="T56" s="45" t="n">
        <x:v>0</x:v>
      </x:c>
      <x:c r="U56" s="46" t="n">
        <x:f>R56-S56-T56</x:f>
        <x:v>0</x:v>
      </x:c>
      <x:c r="V56" s="46" t="str">
        <x:v>HOLD</x:v>
      </x:c>
      <x:c r="W56" s="46" t="str">
        <x:v>HOLD</x:v>
      </x:c>
      <x:c r="X56" s="46" t="str">
        <x:v>PENDING</x:v>
      </x:c>
      <x:c r="Y56" s="46" t="str">
        <x:v>S01/S02/S03</x:v>
      </x:c>
    </x:row>
    <x:row r="57">
      <x:c r="A57" s="41" t="n">
        <x:v>52</x:v>
      </x:c>
      <x:c r="B57" s="42" t="n">
        <x:v>43498.5</x:v>
      </x:c>
      <x:c r="C57" s="41" t="str">
        <x:v>A</x:v>
      </x:c>
      <x:c r="D57" s="41" t="str">
        <x:v>Phoenix Suns</x:v>
      </x:c>
      <x:c r="E57" s="41" t="str">
        <x:v>W</x:v>
      </x:c>
      <x:c r="F57" s="41" t="n">
        <x:v>118</x:v>
      </x:c>
      <x:c r="G57" s="41" t="n">
        <x:v>112</x:v>
      </x:c>
      <x:c r="H57" s="41" t="n">
        <x:f>F57-G57</x:f>
        <x:v>6</x:v>
      </x:c>
      <x:c r="I57" s="41" t="n">
        <x:v>0</x:v>
      </x:c>
      <x:c r="J57" s="41" t="n">
        <x:f>240+25*I57</x:f>
        <x:v>240</x:v>
      </x:c>
      <x:c r="K57" s="41" t="n">
        <x:f>K56+IF(E57="W",1,0)</x:f>
        <x:v>17</x:v>
      </x:c>
      <x:c r="L57" s="41" t="n">
        <x:f>L56+IF(E57="L",1,0)</x:f>
        <x:v>35</x:v>
      </x:c>
      <x:c r="M57" s="43" t="n">
        <x:f>B57-B56-1</x:f>
        <x:v>0</x:v>
      </x:c>
      <x:c r="N57" s="41" t="b">
        <x:f>M57=0</x:f>
        <x:v>1</x:v>
      </x:c>
      <x:c r="O57" s="41" t="str">
        <x:v>ROSTER</x:v>
      </x:c>
      <x:c r="P57" s="44" t="b">
        <x:v>0</x:v>
      </x:c>
      <x:c r="Q57" s="45" t="str">
        <x:v>HOLD</x:v>
      </x:c>
      <x:c r="R57" s="45" t="n">
        <x:v>0</x:v>
      </x:c>
      <x:c r="S57" s="45" t="n">
        <x:v>0</x:v>
      </x:c>
      <x:c r="T57" s="45" t="n">
        <x:v>0</x:v>
      </x:c>
      <x:c r="U57" s="46" t="n">
        <x:f>R57-S57-T57</x:f>
        <x:v>0</x:v>
      </x:c>
      <x:c r="V57" s="46" t="str">
        <x:v>HOLD</x:v>
      </x:c>
      <x:c r="W57" s="46" t="str">
        <x:v>HOLD</x:v>
      </x:c>
      <x:c r="X57" s="46" t="str">
        <x:v>PENDING</x:v>
      </x:c>
      <x:c r="Y57" s="46" t="str">
        <x:v>S01/S02/S03</x:v>
      </x:c>
    </x:row>
    <x:row r="58">
      <x:c r="A58" s="41" t="n">
        <x:v>53</x:v>
      </x:c>
      <x:c r="B58" s="42" t="n">
        <x:v>43500.5</x:v>
      </x:c>
      <x:c r="C58" s="41" t="str">
        <x:v>A</x:v>
      </x:c>
      <x:c r="D58" s="41" t="str">
        <x:v>Washington Wizards</x:v>
      </x:c>
      <x:c r="E58" s="41" t="str">
        <x:v>W</x:v>
      </x:c>
      <x:c r="F58" s="41" t="n">
        <x:v>137</x:v>
      </x:c>
      <x:c r="G58" s="41" t="n">
        <x:v>129</x:v>
      </x:c>
      <x:c r="H58" s="41" t="n">
        <x:f>F58-G58</x:f>
        <x:v>8</x:v>
      </x:c>
      <x:c r="I58" s="41" t="n">
        <x:v>0</x:v>
      </x:c>
      <x:c r="J58" s="41" t="n">
        <x:f>240+25*I58</x:f>
        <x:v>240</x:v>
      </x:c>
      <x:c r="K58" s="41" t="n">
        <x:f>K57+IF(E58="W",1,0)</x:f>
        <x:v>18</x:v>
      </x:c>
      <x:c r="L58" s="41" t="n">
        <x:f>L57+IF(E58="L",1,0)</x:f>
        <x:v>35</x:v>
      </x:c>
      <x:c r="M58" s="43" t="n">
        <x:f>B58-B57-1</x:f>
        <x:v>1</x:v>
      </x:c>
      <x:c r="N58" s="41" t="b">
        <x:f>M58=0</x:f>
        <x:v>0</x:v>
      </x:c>
      <x:c r="O58" s="41" t="str">
        <x:v>ROSTER</x:v>
      </x:c>
      <x:c r="P58" s="44" t="b">
        <x:v>0</x:v>
      </x:c>
      <x:c r="Q58" s="45" t="str">
        <x:v>HOLD</x:v>
      </x:c>
      <x:c r="R58" s="45" t="n">
        <x:v>0</x:v>
      </x:c>
      <x:c r="S58" s="45" t="n">
        <x:v>0</x:v>
      </x:c>
      <x:c r="T58" s="45" t="n">
        <x:v>0</x:v>
      </x:c>
      <x:c r="U58" s="46" t="n">
        <x:f>R58-S58-T58</x:f>
        <x:v>0</x:v>
      </x:c>
      <x:c r="V58" s="46" t="str">
        <x:v>HOLD</x:v>
      </x:c>
      <x:c r="W58" s="46" t="str">
        <x:v>HOLD</x:v>
      </x:c>
      <x:c r="X58" s="46" t="str">
        <x:v>PENDING</x:v>
      </x:c>
      <x:c r="Y58" s="46" t="str">
        <x:v>S01/S02/S03</x:v>
      </x:c>
    </x:row>
    <x:row r="59">
      <x:c r="A59" s="41" t="n">
        <x:v>54</x:v>
      </x:c>
      <x:c r="B59" s="42" t="n">
        <x:v>43503.5</x:v>
      </x:c>
      <x:c r="C59" s="41" t="str">
        <x:v>H</x:v>
      </x:c>
      <x:c r="D59" s="41" t="str">
        <x:v>Toronto Raptors</x:v>
      </x:c>
      <x:c r="E59" s="41" t="str">
        <x:v>L</x:v>
      </x:c>
      <x:c r="F59" s="41" t="n">
        <x:v>101</x:v>
      </x:c>
      <x:c r="G59" s="41" t="n">
        <x:v>119</x:v>
      </x:c>
      <x:c r="H59" s="41" t="n">
        <x:f>F59-G59</x:f>
        <x:v>-18</x:v>
      </x:c>
      <x:c r="I59" s="41" t="n">
        <x:v>0</x:v>
      </x:c>
      <x:c r="J59" s="41" t="n">
        <x:f>240+25*I59</x:f>
        <x:v>240</x:v>
      </x:c>
      <x:c r="K59" s="41" t="n">
        <x:f>K58+IF(E59="W",1,0)</x:f>
        <x:v>18</x:v>
      </x:c>
      <x:c r="L59" s="41" t="n">
        <x:f>L58+IF(E59="L",1,0)</x:f>
        <x:v>36</x:v>
      </x:c>
      <x:c r="M59" s="43" t="n">
        <x:f>B59-B58-1</x:f>
        <x:v>2</x:v>
      </x:c>
      <x:c r="N59" s="41" t="b">
        <x:f>M59=0</x:f>
        <x:v>0</x:v>
      </x:c>
      <x:c r="O59" s="41" t="str">
        <x:v>ROSTER</x:v>
      </x:c>
      <x:c r="P59" s="44" t="b">
        <x:v>0</x:v>
      </x:c>
      <x:c r="Q59" s="45" t="str">
        <x:v>HOLD</x:v>
      </x:c>
      <x:c r="R59" s="45" t="n">
        <x:v>0</x:v>
      </x:c>
      <x:c r="S59" s="45" t="n">
        <x:v>0</x:v>
      </x:c>
      <x:c r="T59" s="45" t="n">
        <x:v>0</x:v>
      </x:c>
      <x:c r="U59" s="46" t="n">
        <x:f>R59-S59-T59</x:f>
        <x:v>0</x:v>
      </x:c>
      <x:c r="V59" s="46" t="str">
        <x:v>HOLD</x:v>
      </x:c>
      <x:c r="W59" s="46" t="str">
        <x:v>HOLD</x:v>
      </x:c>
      <x:c r="X59" s="46" t="str">
        <x:v>PENDING</x:v>
      </x:c>
      <x:c r="Y59" s="46" t="str">
        <x:v>S01/S02/S03</x:v>
      </x:c>
    </x:row>
    <x:row r="60">
      <x:c r="A60" s="41" t="n">
        <x:v>55</x:v>
      </x:c>
      <x:c r="B60" s="42" t="n">
        <x:v>43505.5</x:v>
      </x:c>
      <x:c r="C60" s="41" t="str">
        <x:v>H</x:v>
      </x:c>
      <x:c r="D60" s="41" t="str">
        <x:v>Charlotte Hornets</x:v>
      </x:c>
      <x:c r="E60" s="41" t="str">
        <x:v>L</x:v>
      </x:c>
      <x:c r="F60" s="41" t="n">
        <x:v>120</x:v>
      </x:c>
      <x:c r="G60" s="41" t="n">
        <x:v>129</x:v>
      </x:c>
      <x:c r="H60" s="41" t="n">
        <x:f>F60-G60</x:f>
        <x:v>-9</x:v>
      </x:c>
      <x:c r="I60" s="41" t="n">
        <x:v>0</x:v>
      </x:c>
      <x:c r="J60" s="41" t="n">
        <x:f>240+25*I60</x:f>
        <x:v>240</x:v>
      </x:c>
      <x:c r="K60" s="41" t="n">
        <x:f>K59+IF(E60="W",1,0)</x:f>
        <x:v>18</x:v>
      </x:c>
      <x:c r="L60" s="41" t="n">
        <x:f>L59+IF(E60="L",1,0)</x:f>
        <x:v>37</x:v>
      </x:c>
      <x:c r="M60" s="43" t="n">
        <x:f>B60-B59-1</x:f>
        <x:v>1</x:v>
      </x:c>
      <x:c r="N60" s="41" t="b">
        <x:f>M60=0</x:f>
        <x:v>0</x:v>
      </x:c>
      <x:c r="O60" s="41" t="str">
        <x:v>ROSTER</x:v>
      </x:c>
      <x:c r="P60" s="44" t="b">
        <x:v>0</x:v>
      </x:c>
      <x:c r="Q60" s="45" t="str">
        <x:v>HOLD</x:v>
      </x:c>
      <x:c r="R60" s="45" t="n">
        <x:v>0</x:v>
      </x:c>
      <x:c r="S60" s="45" t="n">
        <x:v>0</x:v>
      </x:c>
      <x:c r="T60" s="45" t="n">
        <x:v>0</x:v>
      </x:c>
      <x:c r="U60" s="46" t="n">
        <x:f>R60-S60-T60</x:f>
        <x:v>0</x:v>
      </x:c>
      <x:c r="V60" s="46" t="str">
        <x:v>HOLD</x:v>
      </x:c>
      <x:c r="W60" s="46" t="str">
        <x:v>HOLD</x:v>
      </x:c>
      <x:c r="X60" s="46" t="str">
        <x:v>PENDING</x:v>
      </x:c>
      <x:c r="Y60" s="46" t="str">
        <x:v>S01/S02/S03</x:v>
      </x:c>
    </x:row>
    <x:row r="61">
      <x:c r="A61" s="41" t="n">
        <x:v>56</x:v>
      </x:c>
      <x:c r="B61" s="42" t="n">
        <x:v>43506.5</x:v>
      </x:c>
      <x:c r="C61" s="41" t="str">
        <x:v>H</x:v>
      </x:c>
      <x:c r="D61" s="41" t="str">
        <x:v>Orlando Magic</x:v>
      </x:c>
      <x:c r="E61" s="41" t="str">
        <x:v>L</x:v>
      </x:c>
      <x:c r="F61" s="41" t="n">
        <x:v>108</x:v>
      </x:c>
      <x:c r="G61" s="41" t="n">
        <x:v>124</x:v>
      </x:c>
      <x:c r="H61" s="41" t="n">
        <x:f>F61-G61</x:f>
        <x:v>-16</x:v>
      </x:c>
      <x:c r="I61" s="41" t="n">
        <x:v>0</x:v>
      </x:c>
      <x:c r="J61" s="41" t="n">
        <x:f>240+25*I61</x:f>
        <x:v>240</x:v>
      </x:c>
      <x:c r="K61" s="41" t="n">
        <x:f>K60+IF(E61="W",1,0)</x:f>
        <x:v>18</x:v>
      </x:c>
      <x:c r="L61" s="41" t="n">
        <x:f>L60+IF(E61="L",1,0)</x:f>
        <x:v>38</x:v>
      </x:c>
      <x:c r="M61" s="43" t="n">
        <x:f>B61-B60-1</x:f>
        <x:v>0</x:v>
      </x:c>
      <x:c r="N61" s="41" t="b">
        <x:f>M61=0</x:f>
        <x:v>1</x:v>
      </x:c>
      <x:c r="O61" s="41" t="str">
        <x:v>ROSTER</x:v>
      </x:c>
      <x:c r="P61" s="44" t="b">
        <x:v>0</x:v>
      </x:c>
      <x:c r="Q61" s="45" t="str">
        <x:v>HOLD</x:v>
      </x:c>
      <x:c r="R61" s="45" t="n">
        <x:v>0</x:v>
      </x:c>
      <x:c r="S61" s="45" t="n">
        <x:v>0</x:v>
      </x:c>
      <x:c r="T61" s="45" t="n">
        <x:v>0</x:v>
      </x:c>
      <x:c r="U61" s="46" t="n">
        <x:f>R61-S61-T61</x:f>
        <x:v>0</x:v>
      </x:c>
      <x:c r="V61" s="46" t="str">
        <x:v>HOLD</x:v>
      </x:c>
      <x:c r="W61" s="46" t="str">
        <x:v>HOLD</x:v>
      </x:c>
      <x:c r="X61" s="46" t="str">
        <x:v>PENDING</x:v>
      </x:c>
      <x:c r="Y61" s="46" t="str">
        <x:v>S01/S02/S03</x:v>
      </x:c>
    </x:row>
    <x:row r="62">
      <x:c r="A62" s="41" t="n">
        <x:v>57</x:v>
      </x:c>
      <x:c r="B62" s="42" t="n">
        <x:v>43508.5</x:v>
      </x:c>
      <x:c r="C62" s="41" t="str">
        <x:v>H</x:v>
      </x:c>
      <x:c r="D62" s="41" t="str">
        <x:v>Los Angeles Lakers</x:v>
      </x:c>
      <x:c r="E62" s="41" t="str">
        <x:v>W</x:v>
      </x:c>
      <x:c r="F62" s="41" t="n">
        <x:v>117</x:v>
      </x:c>
      <x:c r="G62" s="41" t="n">
        <x:v>113</x:v>
      </x:c>
      <x:c r="H62" s="41" t="n">
        <x:f>F62-G62</x:f>
        <x:v>4</x:v>
      </x:c>
      <x:c r="I62" s="41" t="n">
        <x:v>0</x:v>
      </x:c>
      <x:c r="J62" s="41" t="n">
        <x:f>240+25*I62</x:f>
        <x:v>240</x:v>
      </x:c>
      <x:c r="K62" s="41" t="n">
        <x:f>K61+IF(E62="W",1,0)</x:f>
        <x:v>19</x:v>
      </x:c>
      <x:c r="L62" s="41" t="n">
        <x:f>L61+IF(E62="L",1,0)</x:f>
        <x:v>38</x:v>
      </x:c>
      <x:c r="M62" s="43" t="n">
        <x:f>B62-B61-1</x:f>
        <x:v>1</x:v>
      </x:c>
      <x:c r="N62" s="41" t="b">
        <x:f>M62=0</x:f>
        <x:v>0</x:v>
      </x:c>
      <x:c r="O62" s="41" t="str">
        <x:v>ROSTER</x:v>
      </x:c>
      <x:c r="P62" s="44" t="b">
        <x:v>0</x:v>
      </x:c>
      <x:c r="Q62" s="45" t="str">
        <x:v>HOLD</x:v>
      </x:c>
      <x:c r="R62" s="45" t="n">
        <x:v>0</x:v>
      </x:c>
      <x:c r="S62" s="45" t="n">
        <x:v>0</x:v>
      </x:c>
      <x:c r="T62" s="45" t="n">
        <x:v>0</x:v>
      </x:c>
      <x:c r="U62" s="46" t="n">
        <x:f>R62-S62-T62</x:f>
        <x:v>0</x:v>
      </x:c>
      <x:c r="V62" s="46" t="str">
        <x:v>HOLD</x:v>
      </x:c>
      <x:c r="W62" s="46" t="str">
        <x:v>HOLD</x:v>
      </x:c>
      <x:c r="X62" s="46" t="str">
        <x:v>PENDING</x:v>
      </x:c>
      <x:c r="Y62" s="46" t="str">
        <x:v>S01/S02/S03</x:v>
      </x:c>
    </x:row>
    <x:row r="63">
      <x:c r="A63" s="41" t="n">
        <x:v>58</x:v>
      </x:c>
      <x:c r="B63" s="42" t="n">
        <x:v>43510.5</x:v>
      </x:c>
      <x:c r="C63" s="41" t="str">
        <x:v>H</x:v>
      </x:c>
      <x:c r="D63" s="41" t="str">
        <x:v>New York Knicks</x:v>
      </x:c>
      <x:c r="E63" s="41" t="str">
        <x:v>L</x:v>
      </x:c>
      <x:c r="F63" s="41" t="n">
        <x:v>91</x:v>
      </x:c>
      <x:c r="G63" s="41" t="n">
        <x:v>106</x:v>
      </x:c>
      <x:c r="H63" s="41" t="n">
        <x:f>F63-G63</x:f>
        <x:v>-15</x:v>
      </x:c>
      <x:c r="I63" s="41" t="n">
        <x:v>0</x:v>
      </x:c>
      <x:c r="J63" s="41" t="n">
        <x:f>240+25*I63</x:f>
        <x:v>240</x:v>
      </x:c>
      <x:c r="K63" s="41" t="n">
        <x:f>K62+IF(E63="W",1,0)</x:f>
        <x:v>19</x:v>
      </x:c>
      <x:c r="L63" s="41" t="n">
        <x:f>L62+IF(E63="L",1,0)</x:f>
        <x:v>39</x:v>
      </x:c>
      <x:c r="M63" s="43" t="n">
        <x:f>B63-B62-1</x:f>
        <x:v>1</x:v>
      </x:c>
      <x:c r="N63" s="41" t="b">
        <x:f>M63=0</x:f>
        <x:v>0</x:v>
      </x:c>
      <x:c r="O63" s="41" t="str">
        <x:v>ROSTER</x:v>
      </x:c>
      <x:c r="P63" s="44" t="b">
        <x:v>0</x:v>
      </x:c>
      <x:c r="Q63" s="45" t="str">
        <x:v>HOLD</x:v>
      </x:c>
      <x:c r="R63" s="45" t="n">
        <x:v>0</x:v>
      </x:c>
      <x:c r="S63" s="45" t="n">
        <x:v>0</x:v>
      </x:c>
      <x:c r="T63" s="45" t="n">
        <x:v>0</x:v>
      </x:c>
      <x:c r="U63" s="46" t="n">
        <x:f>R63-S63-T63</x:f>
        <x:v>0</x:v>
      </x:c>
      <x:c r="V63" s="46" t="str">
        <x:v>HOLD</x:v>
      </x:c>
      <x:c r="W63" s="46" t="str">
        <x:v>HOLD</x:v>
      </x:c>
      <x:c r="X63" s="46" t="str">
        <x:v>PENDING</x:v>
      </x:c>
      <x:c r="Y63" s="46" t="str">
        <x:v>S01/S02/S03</x:v>
      </x:c>
    </x:row>
    <x:row r="64">
      <x:c r="A64" s="41" t="n">
        <x:v>59</x:v>
      </x:c>
      <x:c r="B64" s="42" t="n">
        <x:v>43518.5</x:v>
      </x:c>
      <x:c r="C64" s="41" t="str">
        <x:v>H</x:v>
      </x:c>
      <x:c r="D64" s="41" t="str">
        <x:v>Detroit Pistons</x:v>
      </x:c>
      <x:c r="E64" s="41" t="str">
        <x:v>L</x:v>
      </x:c>
      <x:c r="F64" s="41" t="n">
        <x:v>122</x:v>
      </x:c>
      <x:c r="G64" s="41" t="n">
        <x:v>125</x:v>
      </x:c>
      <x:c r="H64" s="41" t="n">
        <x:f>F64-G64</x:f>
        <x:v>-3</x:v>
      </x:c>
      <x:c r="I64" s="41" t="n">
        <x:v>0</x:v>
      </x:c>
      <x:c r="J64" s="41" t="n">
        <x:f>240+25*I64</x:f>
        <x:v>240</x:v>
      </x:c>
      <x:c r="K64" s="41" t="n">
        <x:f>K63+IF(E64="W",1,0)</x:f>
        <x:v>19</x:v>
      </x:c>
      <x:c r="L64" s="41" t="n">
        <x:f>L63+IF(E64="L",1,0)</x:f>
        <x:v>40</x:v>
      </x:c>
      <x:c r="M64" s="43" t="n">
        <x:f>B64-B63-1</x:f>
        <x:v>7</x:v>
      </x:c>
      <x:c r="N64" s="41" t="b">
        <x:f>M64=0</x:f>
        <x:v>0</x:v>
      </x:c>
      <x:c r="O64" s="41" t="str">
        <x:v>ROSTER</x:v>
      </x:c>
      <x:c r="P64" s="44" t="b">
        <x:v>0</x:v>
      </x:c>
      <x:c r="Q64" s="45" t="str">
        <x:v>HOLD</x:v>
      </x:c>
      <x:c r="R64" s="45" t="n">
        <x:v>0</x:v>
      </x:c>
      <x:c r="S64" s="45" t="n">
        <x:v>0</x:v>
      </x:c>
      <x:c r="T64" s="45" t="n">
        <x:v>0</x:v>
      </x:c>
      <x:c r="U64" s="46" t="n">
        <x:f>R64-S64-T64</x:f>
        <x:v>0</x:v>
      </x:c>
      <x:c r="V64" s="46" t="str">
        <x:v>HOLD</x:v>
      </x:c>
      <x:c r="W64" s="46" t="str">
        <x:v>HOLD</x:v>
      </x:c>
      <x:c r="X64" s="46" t="str">
        <x:v>PENDING</x:v>
      </x:c>
      <x:c r="Y64" s="46" t="str">
        <x:v>S01/S02/S03</x:v>
      </x:c>
    </x:row>
    <x:row r="65">
      <x:c r="A65" s="41" t="n">
        <x:v>60</x:v>
      </x:c>
      <x:c r="B65" s="42" t="n">
        <x:v>43519.5</x:v>
      </x:c>
      <x:c r="C65" s="41" t="str">
        <x:v>H</x:v>
      </x:c>
      <x:c r="D65" s="41" t="str">
        <x:v>Phoenix Suns</x:v>
      </x:c>
      <x:c r="E65" s="41" t="str">
        <x:v>W</x:v>
      </x:c>
      <x:c r="F65" s="41" t="n">
        <x:v>120</x:v>
      </x:c>
      <x:c r="G65" s="41" t="n">
        <x:v>112</x:v>
      </x:c>
      <x:c r="H65" s="41" t="n">
        <x:f>F65-G65</x:f>
        <x:v>8</x:v>
      </x:c>
      <x:c r="I65" s="41" t="n">
        <x:v>0</x:v>
      </x:c>
      <x:c r="J65" s="41" t="n">
        <x:f>240+25*I65</x:f>
        <x:v>240</x:v>
      </x:c>
      <x:c r="K65" s="41" t="n">
        <x:f>K64+IF(E65="W",1,0)</x:f>
        <x:v>20</x:v>
      </x:c>
      <x:c r="L65" s="41" t="n">
        <x:f>L64+IF(E65="L",1,0)</x:f>
        <x:v>40</x:v>
      </x:c>
      <x:c r="M65" s="43" t="n">
        <x:f>B65-B64-1</x:f>
        <x:v>0</x:v>
      </x:c>
      <x:c r="N65" s="41" t="b">
        <x:f>M65=0</x:f>
        <x:v>1</x:v>
      </x:c>
      <x:c r="O65" s="41" t="str">
        <x:v>ROSTER</x:v>
      </x:c>
      <x:c r="P65" s="44" t="b">
        <x:v>0</x:v>
      </x:c>
      <x:c r="Q65" s="45" t="str">
        <x:v>HOLD</x:v>
      </x:c>
      <x:c r="R65" s="45" t="n">
        <x:v>0</x:v>
      </x:c>
      <x:c r="S65" s="45" t="n">
        <x:v>0</x:v>
      </x:c>
      <x:c r="T65" s="45" t="n">
        <x:v>0</x:v>
      </x:c>
      <x:c r="U65" s="46" t="n">
        <x:f>R65-S65-T65</x:f>
        <x:v>0</x:v>
      </x:c>
      <x:c r="V65" s="46" t="str">
        <x:v>HOLD</x:v>
      </x:c>
      <x:c r="W65" s="46" t="str">
        <x:v>HOLD</x:v>
      </x:c>
      <x:c r="X65" s="46" t="str">
        <x:v>PENDING</x:v>
      </x:c>
      <x:c r="Y65" s="46" t="str">
        <x:v>S01/S02/S03</x:v>
      </x:c>
    </x:row>
    <x:row r="66">
      <x:c r="A66" s="41" t="n">
        <x:v>61</x:v>
      </x:c>
      <x:c r="B66" s="42" t="n">
        <x:v>43521.5</x:v>
      </x:c>
      <x:c r="C66" s="41" t="str">
        <x:v>A</x:v>
      </x:c>
      <x:c r="D66" s="41" t="str">
        <x:v>Houston Rockets</x:v>
      </x:c>
      <x:c r="E66" s="41" t="str">
        <x:v>L</x:v>
      </x:c>
      <x:c r="F66" s="41" t="n">
        <x:v>111</x:v>
      </x:c>
      <x:c r="G66" s="41" t="n">
        <x:v>119</x:v>
      </x:c>
      <x:c r="H66" s="41" t="n">
        <x:f>F66-G66</x:f>
        <x:v>-8</x:v>
      </x:c>
      <x:c r="I66" s="41" t="n">
        <x:v>0</x:v>
      </x:c>
      <x:c r="J66" s="41" t="n">
        <x:f>240+25*I66</x:f>
        <x:v>240</x:v>
      </x:c>
      <x:c r="K66" s="41" t="n">
        <x:f>K65+IF(E66="W",1,0)</x:f>
        <x:v>20</x:v>
      </x:c>
      <x:c r="L66" s="41" t="n">
        <x:f>L65+IF(E66="L",1,0)</x:f>
        <x:v>41</x:v>
      </x:c>
      <x:c r="M66" s="43" t="n">
        <x:f>B66-B65-1</x:f>
        <x:v>1</x:v>
      </x:c>
      <x:c r="N66" s="41" t="b">
        <x:f>M66=0</x:f>
        <x:v>0</x:v>
      </x:c>
      <x:c r="O66" s="41" t="str">
        <x:v>ROSTER</x:v>
      </x:c>
      <x:c r="P66" s="44" t="b">
        <x:v>0</x:v>
      </x:c>
      <x:c r="Q66" s="45" t="str">
        <x:v>HOLD</x:v>
      </x:c>
      <x:c r="R66" s="45" t="n">
        <x:v>0</x:v>
      </x:c>
      <x:c r="S66" s="45" t="n">
        <x:v>0</x:v>
      </x:c>
      <x:c r="T66" s="45" t="n">
        <x:v>0</x:v>
      </x:c>
      <x:c r="U66" s="46" t="n">
        <x:f>R66-S66-T66</x:f>
        <x:v>0</x:v>
      </x:c>
      <x:c r="V66" s="46" t="str">
        <x:v>HOLD</x:v>
      </x:c>
      <x:c r="W66" s="46" t="str">
        <x:v>HOLD</x:v>
      </x:c>
      <x:c r="X66" s="46" t="str">
        <x:v>PENDING</x:v>
      </x:c>
      <x:c r="Y66" s="46" t="str">
        <x:v>S01/S02/S03</x:v>
      </x:c>
    </x:row>
    <x:row r="67">
      <x:c r="A67" s="41" t="n">
        <x:v>62</x:v>
      </x:c>
      <x:c r="B67" s="42" t="n">
        <x:v>43523.5</x:v>
      </x:c>
      <x:c r="C67" s="41" t="str">
        <x:v>H</x:v>
      </x:c>
      <x:c r="D67" s="41" t="str">
        <x:v>Minnesota Timberwolves</x:v>
      </x:c>
      <x:c r="E67" s="41" t="str">
        <x:v>W</x:v>
      </x:c>
      <x:c r="F67" s="41" t="n">
        <x:v>131</x:v>
      </x:c>
      <x:c r="G67" s="41" t="n">
        <x:v>123</x:v>
      </x:c>
      <x:c r="H67" s="41" t="n">
        <x:f>F67-G67</x:f>
        <x:v>8</x:v>
      </x:c>
      <x:c r="I67" s="41" t="n">
        <x:v>1</x:v>
      </x:c>
      <x:c r="J67" s="41" t="n">
        <x:f>240+25*I67</x:f>
        <x:v>265</x:v>
      </x:c>
      <x:c r="K67" s="41" t="n">
        <x:f>K66+IF(E67="W",1,0)</x:f>
        <x:v>21</x:v>
      </x:c>
      <x:c r="L67" s="41" t="n">
        <x:f>L66+IF(E67="L",1,0)</x:f>
        <x:v>41</x:v>
      </x:c>
      <x:c r="M67" s="43" t="n">
        <x:f>B67-B66-1</x:f>
        <x:v>1</x:v>
      </x:c>
      <x:c r="N67" s="41" t="b">
        <x:f>M67=0</x:f>
        <x:v>0</x:v>
      </x:c>
      <x:c r="O67" s="41" t="str">
        <x:v>ROSTER</x:v>
      </x:c>
      <x:c r="P67" s="44" t="b">
        <x:v>0</x:v>
      </x:c>
      <x:c r="Q67" s="45" t="str">
        <x:v>HOLD</x:v>
      </x:c>
      <x:c r="R67" s="45" t="n">
        <x:v>0</x:v>
      </x:c>
      <x:c r="S67" s="45" t="n">
        <x:v>0</x:v>
      </x:c>
      <x:c r="T67" s="45" t="n">
        <x:v>0</x:v>
      </x:c>
      <x:c r="U67" s="46" t="n">
        <x:f>R67-S67-T67</x:f>
        <x:v>0</x:v>
      </x:c>
      <x:c r="V67" s="46" t="str">
        <x:v>HOLD</x:v>
      </x:c>
      <x:c r="W67" s="46" t="str">
        <x:v>HOLD</x:v>
      </x:c>
      <x:c r="X67" s="46" t="str">
        <x:v>PENDING</x:v>
      </x:c>
      <x:c r="Y67" s="46" t="str">
        <x:v>S01/S02/S03</x:v>
      </x:c>
    </x:row>
    <x:row r="68">
      <x:c r="A68" s="41" t="n">
        <x:v>63</x:v>
      </x:c>
      <x:c r="B68" s="42" t="n">
        <x:v>43525.5</x:v>
      </x:c>
      <x:c r="C68" s="41" t="str">
        <x:v>H</x:v>
      </x:c>
      <x:c r="D68" s="41" t="str">
        <x:v>Chicago Bulls</x:v>
      </x:c>
      <x:c r="E68" s="41" t="str">
        <x:v>L</x:v>
      </x:c>
      <x:c r="F68" s="41" t="n">
        <x:v>161</x:v>
      </x:c>
      <x:c r="G68" s="41" t="n">
        <x:v>168</x:v>
      </x:c>
      <x:c r="H68" s="41" t="n">
        <x:f>F68-G68</x:f>
        <x:v>-7</x:v>
      </x:c>
      <x:c r="I68" s="41" t="n">
        <x:v>4</x:v>
      </x:c>
      <x:c r="J68" s="41" t="n">
        <x:f>240+25*I68</x:f>
        <x:v>340</x:v>
      </x:c>
      <x:c r="K68" s="41" t="n">
        <x:f>K67+IF(E68="W",1,0)</x:f>
        <x:v>21</x:v>
      </x:c>
      <x:c r="L68" s="41" t="n">
        <x:f>L67+IF(E68="L",1,0)</x:f>
        <x:v>42</x:v>
      </x:c>
      <x:c r="M68" s="43" t="n">
        <x:f>B68-B67-1</x:f>
        <x:v>1</x:v>
      </x:c>
      <x:c r="N68" s="41" t="b">
        <x:f>M68=0</x:f>
        <x:v>0</x:v>
      </x:c>
      <x:c r="O68" s="41" t="str">
        <x:v>ROSTER</x:v>
      </x:c>
      <x:c r="P68" s="44" t="b">
        <x:v>0</x:v>
      </x:c>
      <x:c r="Q68" s="45" t="str">
        <x:v>HOLD</x:v>
      </x:c>
      <x:c r="R68" s="45" t="n">
        <x:v>0</x:v>
      </x:c>
      <x:c r="S68" s="45" t="n">
        <x:v>0</x:v>
      </x:c>
      <x:c r="T68" s="45" t="n">
        <x:v>0</x:v>
      </x:c>
      <x:c r="U68" s="46" t="n">
        <x:f>R68-S68-T68</x:f>
        <x:v>0</x:v>
      </x:c>
      <x:c r="V68" s="46" t="str">
        <x:v>HOLD</x:v>
      </x:c>
      <x:c r="W68" s="46" t="str">
        <x:v>HOLD</x:v>
      </x:c>
      <x:c r="X68" s="46" t="str">
        <x:v>PENDING</x:v>
      </x:c>
      <x:c r="Y68" s="46" t="str">
        <x:v>S01/S02/S03</x:v>
      </x:c>
    </x:row>
    <x:row r="69">
      <x:c r="A69" s="41" t="n">
        <x:v>64</x:v>
      </x:c>
      <x:c r="B69" s="42" t="n">
        <x:v>43527.5</x:v>
      </x:c>
      <x:c r="C69" s="41" t="str">
        <x:v>A</x:v>
      </x:c>
      <x:c r="D69" s="41" t="str">
        <x:v>Chicago Bulls</x:v>
      </x:c>
      <x:c r="E69" s="41" t="str">
        <x:v>W</x:v>
      </x:c>
      <x:c r="F69" s="41" t="n">
        <x:v>123</x:v>
      </x:c>
      <x:c r="G69" s="41" t="n">
        <x:v>118</x:v>
      </x:c>
      <x:c r="H69" s="41" t="n">
        <x:f>F69-G69</x:f>
        <x:v>5</x:v>
      </x:c>
      <x:c r="I69" s="41" t="n">
        <x:v>0</x:v>
      </x:c>
      <x:c r="J69" s="41" t="n">
        <x:f>240+25*I69</x:f>
        <x:v>240</x:v>
      </x:c>
      <x:c r="K69" s="41" t="n">
        <x:f>K68+IF(E69="W",1,0)</x:f>
        <x:v>22</x:v>
      </x:c>
      <x:c r="L69" s="41" t="n">
        <x:f>L68+IF(E69="L",1,0)</x:f>
        <x:v>42</x:v>
      </x:c>
      <x:c r="M69" s="43" t="n">
        <x:f>B69-B68-1</x:f>
        <x:v>1</x:v>
      </x:c>
      <x:c r="N69" s="41" t="b">
        <x:f>M69=0</x:f>
        <x:v>0</x:v>
      </x:c>
      <x:c r="O69" s="41" t="str">
        <x:v>ROSTER</x:v>
      </x:c>
      <x:c r="P69" s="44" t="b">
        <x:v>0</x:v>
      </x:c>
      <x:c r="Q69" s="45" t="str">
        <x:v>HOLD</x:v>
      </x:c>
      <x:c r="R69" s="45" t="n">
        <x:v>0</x:v>
      </x:c>
      <x:c r="S69" s="45" t="n">
        <x:v>0</x:v>
      </x:c>
      <x:c r="T69" s="45" t="n">
        <x:v>0</x:v>
      </x:c>
      <x:c r="U69" s="46" t="n">
        <x:f>R69-S69-T69</x:f>
        <x:v>0</x:v>
      </x:c>
      <x:c r="V69" s="46" t="str">
        <x:v>HOLD</x:v>
      </x:c>
      <x:c r="W69" s="46" t="str">
        <x:v>HOLD</x:v>
      </x:c>
      <x:c r="X69" s="46" t="str">
        <x:v>PENDING</x:v>
      </x:c>
      <x:c r="Y69" s="46" t="str">
        <x:v>S01/S02/S03</x:v>
      </x:c>
    </x:row>
    <x:row r="70">
      <x:c r="A70" s="41" t="n">
        <x:v>65</x:v>
      </x:c>
      <x:c r="B70" s="42" t="n">
        <x:v>43528.5</x:v>
      </x:c>
      <x:c r="C70" s="41" t="str">
        <x:v>A</x:v>
      </x:c>
      <x:c r="D70" s="41" t="str">
        <x:v>Miami Heat</x:v>
      </x:c>
      <x:c r="E70" s="41" t="str">
        <x:v>L</x:v>
      </x:c>
      <x:c r="F70" s="41" t="n">
        <x:v>113</x:v>
      </x:c>
      <x:c r="G70" s="41" t="n">
        <x:v>114</x:v>
      </x:c>
      <x:c r="H70" s="41" t="n">
        <x:f>F70-G70</x:f>
        <x:v>-1</x:v>
      </x:c>
      <x:c r="I70" s="41" t="n">
        <x:v>0</x:v>
      </x:c>
      <x:c r="J70" s="41" t="n">
        <x:f>240+25*I70</x:f>
        <x:v>240</x:v>
      </x:c>
      <x:c r="K70" s="41" t="n">
        <x:f>K69+IF(E70="W",1,0)</x:f>
        <x:v>22</x:v>
      </x:c>
      <x:c r="L70" s="41" t="n">
        <x:f>L69+IF(E70="L",1,0)</x:f>
        <x:v>43</x:v>
      </x:c>
      <x:c r="M70" s="43" t="n">
        <x:f>B70-B69-1</x:f>
        <x:v>0</x:v>
      </x:c>
      <x:c r="N70" s="41" t="b">
        <x:f>M70=0</x:f>
        <x:v>1</x:v>
      </x:c>
      <x:c r="O70" s="41" t="str">
        <x:v>ROSTER</x:v>
      </x:c>
      <x:c r="P70" s="44" t="b">
        <x:v>0</x:v>
      </x:c>
      <x:c r="Q70" s="45" t="str">
        <x:v>HOLD</x:v>
      </x:c>
      <x:c r="R70" s="45" t="n">
        <x:v>0</x:v>
      </x:c>
      <x:c r="S70" s="45" t="n">
        <x:v>0</x:v>
      </x:c>
      <x:c r="T70" s="45" t="n">
        <x:v>0</x:v>
      </x:c>
      <x:c r="U70" s="46" t="n">
        <x:f>R70-S70-T70</x:f>
        <x:v>0</x:v>
      </x:c>
      <x:c r="V70" s="46" t="str">
        <x:v>HOLD</x:v>
      </x:c>
      <x:c r="W70" s="46" t="str">
        <x:v>HOLD</x:v>
      </x:c>
      <x:c r="X70" s="46" t="str">
        <x:v>PENDING</x:v>
      </x:c>
      <x:c r="Y70" s="46" t="str">
        <x:v>S01/S02/S03</x:v>
      </x:c>
    </x:row>
    <x:row r="71">
      <x:c r="A71" s="41" t="n">
        <x:v>66</x:v>
      </x:c>
      <x:c r="B71" s="42" t="n">
        <x:v>43530.5</x:v>
      </x:c>
      <x:c r="C71" s="41" t="str">
        <x:v>H</x:v>
      </x:c>
      <x:c r="D71" s="41" t="str">
        <x:v>San Antonio Spurs</x:v>
      </x:c>
      <x:c r="E71" s="41" t="str">
        <x:v>L</x:v>
      </x:c>
      <x:c r="F71" s="41" t="n">
        <x:v>104</x:v>
      </x:c>
      <x:c r="G71" s="41" t="n">
        <x:v>111</x:v>
      </x:c>
      <x:c r="H71" s="41" t="n">
        <x:f>F71-G71</x:f>
        <x:v>-7</x:v>
      </x:c>
      <x:c r="I71" s="41" t="n">
        <x:v>0</x:v>
      </x:c>
      <x:c r="J71" s="41" t="n">
        <x:f>240+25*I71</x:f>
        <x:v>240</x:v>
      </x:c>
      <x:c r="K71" s="41" t="n">
        <x:f>K70+IF(E71="W",1,0)</x:f>
        <x:v>22</x:v>
      </x:c>
      <x:c r="L71" s="41" t="n">
        <x:f>L70+IF(E71="L",1,0)</x:f>
        <x:v>44</x:v>
      </x:c>
      <x:c r="M71" s="43" t="n">
        <x:f>B71-B70-1</x:f>
        <x:v>1</x:v>
      </x:c>
      <x:c r="N71" s="41" t="b">
        <x:f>M71=0</x:f>
        <x:v>0</x:v>
      </x:c>
      <x:c r="O71" s="41" t="str">
        <x:v>ROSTER</x:v>
      </x:c>
      <x:c r="P71" s="44" t="b">
        <x:v>0</x:v>
      </x:c>
      <x:c r="Q71" s="45" t="str">
        <x:v>HOLD</x:v>
      </x:c>
      <x:c r="R71" s="45" t="n">
        <x:v>0</x:v>
      </x:c>
      <x:c r="S71" s="45" t="n">
        <x:v>0</x:v>
      </x:c>
      <x:c r="T71" s="45" t="n">
        <x:v>0</x:v>
      </x:c>
      <x:c r="U71" s="46" t="n">
        <x:f>R71-S71-T71</x:f>
        <x:v>0</x:v>
      </x:c>
      <x:c r="V71" s="46" t="str">
        <x:v>HOLD</x:v>
      </x:c>
      <x:c r="W71" s="46" t="str">
        <x:v>HOLD</x:v>
      </x:c>
      <x:c r="X71" s="46" t="str">
        <x:v>PENDING</x:v>
      </x:c>
      <x:c r="Y71" s="46" t="str">
        <x:v>S01/S02/S03</x:v>
      </x:c>
    </x:row>
    <x:row r="72">
      <x:c r="A72" s="41" t="n">
        <x:v>67</x:v>
      </x:c>
      <x:c r="B72" s="42" t="n">
        <x:v>43533.5</x:v>
      </x:c>
      <x:c r="C72" s="41" t="str">
        <x:v>H</x:v>
      </x:c>
      <x:c r="D72" s="41" t="str">
        <x:v>Brooklyn Nets</x:v>
      </x:c>
      <x:c r="E72" s="41" t="str">
        <x:v>L</x:v>
      </x:c>
      <x:c r="F72" s="41" t="n">
        <x:v>112</x:v>
      </x:c>
      <x:c r="G72" s="41" t="n">
        <x:v>114</x:v>
      </x:c>
      <x:c r="H72" s="41" t="n">
        <x:f>F72-G72</x:f>
        <x:v>-2</x:v>
      </x:c>
      <x:c r="I72" s="41" t="n">
        <x:v>0</x:v>
      </x:c>
      <x:c r="J72" s="41" t="n">
        <x:f>240+25*I72</x:f>
        <x:v>240</x:v>
      </x:c>
      <x:c r="K72" s="41" t="n">
        <x:f>K71+IF(E72="W",1,0)</x:f>
        <x:v>22</x:v>
      </x:c>
      <x:c r="L72" s="41" t="n">
        <x:f>L71+IF(E72="L",1,0)</x:f>
        <x:v>45</x:v>
      </x:c>
      <x:c r="M72" s="43" t="n">
        <x:f>B72-B71-1</x:f>
        <x:v>2</x:v>
      </x:c>
      <x:c r="N72" s="41" t="b">
        <x:f>M72=0</x:f>
        <x:v>0</x:v>
      </x:c>
      <x:c r="O72" s="41" t="str">
        <x:v>ROSTER</x:v>
      </x:c>
      <x:c r="P72" s="44" t="b">
        <x:v>0</x:v>
      </x:c>
      <x:c r="Q72" s="45" t="str">
        <x:v>HOLD</x:v>
      </x:c>
      <x:c r="R72" s="45" t="n">
        <x:v>0</x:v>
      </x:c>
      <x:c r="S72" s="45" t="n">
        <x:v>0</x:v>
      </x:c>
      <x:c r="T72" s="45" t="n">
        <x:v>0</x:v>
      </x:c>
      <x:c r="U72" s="46" t="n">
        <x:f>R72-S72-T72</x:f>
        <x:v>0</x:v>
      </x:c>
      <x:c r="V72" s="46" t="str">
        <x:v>HOLD</x:v>
      </x:c>
      <x:c r="W72" s="46" t="str">
        <x:v>HOLD</x:v>
      </x:c>
      <x:c r="X72" s="46" t="str">
        <x:v>PENDING</x:v>
      </x:c>
      <x:c r="Y72" s="46" t="str">
        <x:v>S01/S02/S03</x:v>
      </x:c>
    </x:row>
    <x:row r="73">
      <x:c r="A73" s="41" t="n">
        <x:v>68</x:v>
      </x:c>
      <x:c r="B73" s="42" t="n">
        <x:v>43534.5</x:v>
      </x:c>
      <x:c r="C73" s="41" t="str">
        <x:v>H</x:v>
      </x:c>
      <x:c r="D73" s="41" t="str">
        <x:v>New Orleans Pelicans</x:v>
      </x:c>
      <x:c r="E73" s="41" t="str">
        <x:v>W</x:v>
      </x:c>
      <x:c r="F73" s="41" t="n">
        <x:v>128</x:v>
      </x:c>
      <x:c r="G73" s="41" t="n">
        <x:v>116</x:v>
      </x:c>
      <x:c r="H73" s="41" t="n">
        <x:f>F73-G73</x:f>
        <x:v>12</x:v>
      </x:c>
      <x:c r="I73" s="41" t="n">
        <x:v>0</x:v>
      </x:c>
      <x:c r="J73" s="41" t="n">
        <x:f>240+25*I73</x:f>
        <x:v>240</x:v>
      </x:c>
      <x:c r="K73" s="41" t="n">
        <x:f>K72+IF(E73="W",1,0)</x:f>
        <x:v>23</x:v>
      </x:c>
      <x:c r="L73" s="41" t="n">
        <x:f>L72+IF(E73="L",1,0)</x:f>
        <x:v>45</x:v>
      </x:c>
      <x:c r="M73" s="43" t="n">
        <x:f>B73-B72-1</x:f>
        <x:v>0</x:v>
      </x:c>
      <x:c r="N73" s="41" t="b">
        <x:f>M73=0</x:f>
        <x:v>1</x:v>
      </x:c>
      <x:c r="O73" s="41" t="str">
        <x:v>ROSTER</x:v>
      </x:c>
      <x:c r="P73" s="44" t="b">
        <x:v>0</x:v>
      </x:c>
      <x:c r="Q73" s="45" t="str">
        <x:v>HOLD</x:v>
      </x:c>
      <x:c r="R73" s="45" t="n">
        <x:v>0</x:v>
      </x:c>
      <x:c r="S73" s="45" t="n">
        <x:v>0</x:v>
      </x:c>
      <x:c r="T73" s="45" t="n">
        <x:v>0</x:v>
      </x:c>
      <x:c r="U73" s="46" t="n">
        <x:f>R73-S73-T73</x:f>
        <x:v>0</x:v>
      </x:c>
      <x:c r="V73" s="46" t="str">
        <x:v>HOLD</x:v>
      </x:c>
      <x:c r="W73" s="46" t="str">
        <x:v>HOLD</x:v>
      </x:c>
      <x:c r="X73" s="46" t="str">
        <x:v>PENDING</x:v>
      </x:c>
      <x:c r="Y73" s="46" t="str">
        <x:v>S01/S02/S03</x:v>
      </x:c>
    </x:row>
    <x:row r="74">
      <x:c r="A74" s="41" t="n">
        <x:v>69</x:v>
      </x:c>
      <x:c r="B74" s="42" t="n">
        <x:v>43537.5</x:v>
      </x:c>
      <x:c r="C74" s="41" t="str">
        <x:v>H</x:v>
      </x:c>
      <x:c r="D74" s="41" t="str">
        <x:v>Memphis Grizzlies</x:v>
      </x:c>
      <x:c r="E74" s="41" t="str">
        <x:v>W</x:v>
      </x:c>
      <x:c r="F74" s="41" t="n">
        <x:v>132</x:v>
      </x:c>
      <x:c r="G74" s="41" t="n">
        <x:v>111</x:v>
      </x:c>
      <x:c r="H74" s="41" t="n">
        <x:f>F74-G74</x:f>
        <x:v>21</x:v>
      </x:c>
      <x:c r="I74" s="41" t="n">
        <x:v>0</x:v>
      </x:c>
      <x:c r="J74" s="41" t="n">
        <x:f>240+25*I74</x:f>
        <x:v>240</x:v>
      </x:c>
      <x:c r="K74" s="41" t="n">
        <x:f>K73+IF(E74="W",1,0)</x:f>
        <x:v>24</x:v>
      </x:c>
      <x:c r="L74" s="41" t="n">
        <x:f>L73+IF(E74="L",1,0)</x:f>
        <x:v>45</x:v>
      </x:c>
      <x:c r="M74" s="43" t="n">
        <x:f>B74-B73-1</x:f>
        <x:v>2</x:v>
      </x:c>
      <x:c r="N74" s="41" t="b">
        <x:f>M74=0</x:f>
        <x:v>0</x:v>
      </x:c>
      <x:c r="O74" s="41" t="str">
        <x:v>ROSTER</x:v>
      </x:c>
      <x:c r="P74" s="44" t="b">
        <x:v>0</x:v>
      </x:c>
      <x:c r="Q74" s="45" t="str">
        <x:v>HOLD</x:v>
      </x:c>
      <x:c r="R74" s="45" t="n">
        <x:v>0</x:v>
      </x:c>
      <x:c r="S74" s="45" t="n">
        <x:v>0</x:v>
      </x:c>
      <x:c r="T74" s="45" t="n">
        <x:v>0</x:v>
      </x:c>
      <x:c r="U74" s="46" t="n">
        <x:f>R74-S74-T74</x:f>
        <x:v>0</x:v>
      </x:c>
      <x:c r="V74" s="46" t="str">
        <x:v>HOLD</x:v>
      </x:c>
      <x:c r="W74" s="46" t="str">
        <x:v>HOLD</x:v>
      </x:c>
      <x:c r="X74" s="46" t="str">
        <x:v>PENDING</x:v>
      </x:c>
      <x:c r="Y74" s="46" t="str">
        <x:v>S01/S02/S03</x:v>
      </x:c>
    </x:row>
    <x:row r="75">
      <x:c r="A75" s="41" t="n">
        <x:v>70</x:v>
      </x:c>
      <x:c r="B75" s="42" t="n">
        <x:v>43540.5</x:v>
      </x:c>
      <x:c r="C75" s="41" t="str">
        <x:v>A</x:v>
      </x:c>
      <x:c r="D75" s="41" t="str">
        <x:v>Boston Celtics</x:v>
      </x:c>
      <x:c r="E75" s="41" t="str">
        <x:v>L</x:v>
      </x:c>
      <x:c r="F75" s="41" t="n">
        <x:v>120</x:v>
      </x:c>
      <x:c r="G75" s="41" t="n">
        <x:v>129</x:v>
      </x:c>
      <x:c r="H75" s="41" t="n">
        <x:f>F75-G75</x:f>
        <x:v>-9</x:v>
      </x:c>
      <x:c r="I75" s="41" t="n">
        <x:v>0</x:v>
      </x:c>
      <x:c r="J75" s="41" t="n">
        <x:f>240+25*I75</x:f>
        <x:v>240</x:v>
      </x:c>
      <x:c r="K75" s="41" t="n">
        <x:f>K74+IF(E75="W",1,0)</x:f>
        <x:v>24</x:v>
      </x:c>
      <x:c r="L75" s="41" t="n">
        <x:f>L74+IF(E75="L",1,0)</x:f>
        <x:v>46</x:v>
      </x:c>
      <x:c r="M75" s="43" t="n">
        <x:f>B75-B74-1</x:f>
        <x:v>2</x:v>
      </x:c>
      <x:c r="N75" s="41" t="b">
        <x:f>M75=0</x:f>
        <x:v>0</x:v>
      </x:c>
      <x:c r="O75" s="41" t="str">
        <x:v>ROSTER</x:v>
      </x:c>
      <x:c r="P75" s="44" t="b">
        <x:v>0</x:v>
      </x:c>
      <x:c r="Q75" s="45" t="str">
        <x:v>HOLD</x:v>
      </x:c>
      <x:c r="R75" s="45" t="n">
        <x:v>0</x:v>
      </x:c>
      <x:c r="S75" s="45" t="n">
        <x:v>0</x:v>
      </x:c>
      <x:c r="T75" s="45" t="n">
        <x:v>0</x:v>
      </x:c>
      <x:c r="U75" s="46" t="n">
        <x:f>R75-S75-T75</x:f>
        <x:v>0</x:v>
      </x:c>
      <x:c r="V75" s="46" t="str">
        <x:v>HOLD</x:v>
      </x:c>
      <x:c r="W75" s="46" t="str">
        <x:v>HOLD</x:v>
      </x:c>
      <x:c r="X75" s="46" t="str">
        <x:v>PENDING</x:v>
      </x:c>
      <x:c r="Y75" s="46" t="str">
        <x:v>S01/S02/S03</x:v>
      </x:c>
    </x:row>
    <x:row r="76">
      <x:c r="A76" s="41" t="n">
        <x:v>71</x:v>
      </x:c>
      <x:c r="B76" s="42" t="n">
        <x:v>43541.5</x:v>
      </x:c>
      <x:c r="C76" s="41" t="str">
        <x:v>A</x:v>
      </x:c>
      <x:c r="D76" s="41" t="str">
        <x:v>Orlando Magic</x:v>
      </x:c>
      <x:c r="E76" s="41" t="str">
        <x:v>L</x:v>
      </x:c>
      <x:c r="F76" s="41" t="n">
        <x:v>91</x:v>
      </x:c>
      <x:c r="G76" s="41" t="n">
        <x:v>101</x:v>
      </x:c>
      <x:c r="H76" s="41" t="n">
        <x:f>F76-G76</x:f>
        <x:v>-10</x:v>
      </x:c>
      <x:c r="I76" s="41" t="n">
        <x:v>0</x:v>
      </x:c>
      <x:c r="J76" s="41" t="n">
        <x:f>240+25*I76</x:f>
        <x:v>240</x:v>
      </x:c>
      <x:c r="K76" s="41" t="n">
        <x:f>K75+IF(E76="W",1,0)</x:f>
        <x:v>24</x:v>
      </x:c>
      <x:c r="L76" s="41" t="n">
        <x:f>L75+IF(E76="L",1,0)</x:f>
        <x:v>47</x:v>
      </x:c>
      <x:c r="M76" s="43" t="n">
        <x:f>B76-B75-1</x:f>
        <x:v>0</x:v>
      </x:c>
      <x:c r="N76" s="41" t="b">
        <x:f>M76=0</x:f>
        <x:v>1</x:v>
      </x:c>
      <x:c r="O76" s="41" t="str">
        <x:v>ROSTER</x:v>
      </x:c>
      <x:c r="P76" s="44" t="b">
        <x:v>0</x:v>
      </x:c>
      <x:c r="Q76" s="45" t="str">
        <x:v>HOLD</x:v>
      </x:c>
      <x:c r="R76" s="45" t="n">
        <x:v>0</x:v>
      </x:c>
      <x:c r="S76" s="45" t="n">
        <x:v>0</x:v>
      </x:c>
      <x:c r="T76" s="45" t="n">
        <x:v>0</x:v>
      </x:c>
      <x:c r="U76" s="46" t="n">
        <x:f>R76-S76-T76</x:f>
        <x:v>0</x:v>
      </x:c>
      <x:c r="V76" s="46" t="str">
        <x:v>HOLD</x:v>
      </x:c>
      <x:c r="W76" s="46" t="str">
        <x:v>HOLD</x:v>
      </x:c>
      <x:c r="X76" s="46" t="str">
        <x:v>PENDING</x:v>
      </x:c>
      <x:c r="Y76" s="46" t="str">
        <x:v>S01/S02/S03</x:v>
      </x:c>
    </x:row>
    <x:row r="77">
      <x:c r="A77" s="41" t="n">
        <x:v>72</x:v>
      </x:c>
      <x:c r="B77" s="42" t="n">
        <x:v>43543.5</x:v>
      </x:c>
      <x:c r="C77" s="41" t="str">
        <x:v>H</x:v>
      </x:c>
      <x:c r="D77" s="41" t="str">
        <x:v>Houston Rockets</x:v>
      </x:c>
      <x:c r="E77" s="41" t="str">
        <x:v>L</x:v>
      </x:c>
      <x:c r="F77" s="41" t="n">
        <x:v>105</x:v>
      </x:c>
      <x:c r="G77" s="41" t="n">
        <x:v>121</x:v>
      </x:c>
      <x:c r="H77" s="41" t="n">
        <x:f>F77-G77</x:f>
        <x:v>-16</x:v>
      </x:c>
      <x:c r="I77" s="41" t="n">
        <x:v>0</x:v>
      </x:c>
      <x:c r="J77" s="41" t="n">
        <x:f>240+25*I77</x:f>
        <x:v>240</x:v>
      </x:c>
      <x:c r="K77" s="41" t="n">
        <x:f>K76+IF(E77="W",1,0)</x:f>
        <x:v>24</x:v>
      </x:c>
      <x:c r="L77" s="41" t="n">
        <x:f>L76+IF(E77="L",1,0)</x:f>
        <x:v>48</x:v>
      </x:c>
      <x:c r="M77" s="43" t="n">
        <x:f>B77-B76-1</x:f>
        <x:v>1</x:v>
      </x:c>
      <x:c r="N77" s="41" t="b">
        <x:f>M77=0</x:f>
        <x:v>0</x:v>
      </x:c>
      <x:c r="O77" s="41" t="str">
        <x:v>ROSTER</x:v>
      </x:c>
      <x:c r="P77" s="44" t="b">
        <x:v>0</x:v>
      </x:c>
      <x:c r="Q77" s="45" t="str">
        <x:v>HOLD</x:v>
      </x:c>
      <x:c r="R77" s="45" t="n">
        <x:v>0</x:v>
      </x:c>
      <x:c r="S77" s="45" t="n">
        <x:v>0</x:v>
      </x:c>
      <x:c r="T77" s="45" t="n">
        <x:v>0</x:v>
      </x:c>
      <x:c r="U77" s="46" t="n">
        <x:f>R77-S77-T77</x:f>
        <x:v>0</x:v>
      </x:c>
      <x:c r="V77" s="46" t="str">
        <x:v>HOLD</x:v>
      </x:c>
      <x:c r="W77" s="46" t="str">
        <x:v>HOLD</x:v>
      </x:c>
      <x:c r="X77" s="46" t="str">
        <x:v>PENDING</x:v>
      </x:c>
      <x:c r="Y77" s="46" t="str">
        <x:v>S01/S02/S03</x:v>
      </x:c>
    </x:row>
    <x:row r="78">
      <x:c r="A78" s="41" t="n">
        <x:v>73</x:v>
      </x:c>
      <x:c r="B78" s="42" t="n">
        <x:v>43545.5</x:v>
      </x:c>
      <x:c r="C78" s="41" t="str">
        <x:v>H</x:v>
      </x:c>
      <x:c r="D78" s="41" t="str">
        <x:v>Utah Jazz</x:v>
      </x:c>
      <x:c r="E78" s="41" t="str">
        <x:v>W</x:v>
      </x:c>
      <x:c r="F78" s="41" t="n">
        <x:v>117</x:v>
      </x:c>
      <x:c r="G78" s="41" t="n">
        <x:v>114</x:v>
      </x:c>
      <x:c r="H78" s="41" t="n">
        <x:f>F78-G78</x:f>
        <x:v>3</x:v>
      </x:c>
      <x:c r="I78" s="41" t="n">
        <x:v>0</x:v>
      </x:c>
      <x:c r="J78" s="41" t="n">
        <x:f>240+25*I78</x:f>
        <x:v>240</x:v>
      </x:c>
      <x:c r="K78" s="41" t="n">
        <x:f>K77+IF(E78="W",1,0)</x:f>
        <x:v>25</x:v>
      </x:c>
      <x:c r="L78" s="41" t="n">
        <x:f>L77+IF(E78="L",1,0)</x:f>
        <x:v>48</x:v>
      </x:c>
      <x:c r="M78" s="43" t="n">
        <x:f>B78-B77-1</x:f>
        <x:v>1</x:v>
      </x:c>
      <x:c r="N78" s="41" t="b">
        <x:f>M78=0</x:f>
        <x:v>0</x:v>
      </x:c>
      <x:c r="O78" s="41" t="str">
        <x:v>ROSTER</x:v>
      </x:c>
      <x:c r="P78" s="44" t="b">
        <x:v>0</x:v>
      </x:c>
      <x:c r="Q78" s="45" t="str">
        <x:v>HOLD</x:v>
      </x:c>
      <x:c r="R78" s="45" t="n">
        <x:v>0</x:v>
      </x:c>
      <x:c r="S78" s="45" t="n">
        <x:v>0</x:v>
      </x:c>
      <x:c r="T78" s="45" t="n">
        <x:v>0</x:v>
      </x:c>
      <x:c r="U78" s="46" t="n">
        <x:f>R78-S78-T78</x:f>
        <x:v>0</x:v>
      </x:c>
      <x:c r="V78" s="46" t="str">
        <x:v>HOLD</x:v>
      </x:c>
      <x:c r="W78" s="46" t="str">
        <x:v>HOLD</x:v>
      </x:c>
      <x:c r="X78" s="46" t="str">
        <x:v>PENDING</x:v>
      </x:c>
      <x:c r="Y78" s="46" t="str">
        <x:v>S01/S02/S03</x:v>
      </x:c>
    </x:row>
    <x:row r="79">
      <x:c r="A79" s="41" t="n">
        <x:v>74</x:v>
      </x:c>
      <x:c r="B79" s="42" t="n">
        <x:v>43547.5</x:v>
      </x:c>
      <x:c r="C79" s="41" t="str">
        <x:v>H</x:v>
      </x:c>
      <x:c r="D79" s="41" t="str">
        <x:v>Philadelphia 76ers</x:v>
      </x:c>
      <x:c r="E79" s="41" t="str">
        <x:v>W</x:v>
      </x:c>
      <x:c r="F79" s="41" t="n">
        <x:v>129</x:v>
      </x:c>
      <x:c r="G79" s="41" t="n">
        <x:v>127</x:v>
      </x:c>
      <x:c r="H79" s="41" t="n">
        <x:f>F79-G79</x:f>
        <x:v>2</x:v>
      </x:c>
      <x:c r="I79" s="41" t="n">
        <x:v>0</x:v>
      </x:c>
      <x:c r="J79" s="41" t="n">
        <x:f>240+25*I79</x:f>
        <x:v>240</x:v>
      </x:c>
      <x:c r="K79" s="41" t="n">
        <x:f>K78+IF(E79="W",1,0)</x:f>
        <x:v>26</x:v>
      </x:c>
      <x:c r="L79" s="41" t="n">
        <x:f>L78+IF(E79="L",1,0)</x:f>
        <x:v>48</x:v>
      </x:c>
      <x:c r="M79" s="43" t="n">
        <x:f>B79-B78-1</x:f>
        <x:v>1</x:v>
      </x:c>
      <x:c r="N79" s="41" t="b">
        <x:f>M79=0</x:f>
        <x:v>0</x:v>
      </x:c>
      <x:c r="O79" s="41" t="str">
        <x:v>ROSTER</x:v>
      </x:c>
      <x:c r="P79" s="44" t="b">
        <x:v>0</x:v>
      </x:c>
      <x:c r="Q79" s="45" t="str">
        <x:v>HOLD</x:v>
      </x:c>
      <x:c r="R79" s="45" t="n">
        <x:v>0</x:v>
      </x:c>
      <x:c r="S79" s="45" t="n">
        <x:v>0</x:v>
      </x:c>
      <x:c r="T79" s="45" t="n">
        <x:v>0</x:v>
      </x:c>
      <x:c r="U79" s="46" t="n">
        <x:f>R79-S79-T79</x:f>
        <x:v>0</x:v>
      </x:c>
      <x:c r="V79" s="46" t="str">
        <x:v>HOLD</x:v>
      </x:c>
      <x:c r="W79" s="46" t="str">
        <x:v>HOLD</x:v>
      </x:c>
      <x:c r="X79" s="46" t="str">
        <x:v>PENDING</x:v>
      </x:c>
      <x:c r="Y79" s="46" t="str">
        <x:v>S01/S02/S03</x:v>
      </x:c>
    </x:row>
    <x:row r="80">
      <x:c r="A80" s="41" t="n">
        <x:v>75</x:v>
      </x:c>
      <x:c r="B80" s="42" t="n">
        <x:v>43550.5</x:v>
      </x:c>
      <x:c r="C80" s="41" t="str">
        <x:v>A</x:v>
      </x:c>
      <x:c r="D80" s="41" t="str">
        <x:v>New Orleans Pelicans</x:v>
      </x:c>
      <x:c r="E80" s="41" t="str">
        <x:v>W</x:v>
      </x:c>
      <x:c r="F80" s="41" t="n">
        <x:v>130</x:v>
      </x:c>
      <x:c r="G80" s="41" t="n">
        <x:v>120</x:v>
      </x:c>
      <x:c r="H80" s="41" t="n">
        <x:f>F80-G80</x:f>
        <x:v>10</x:v>
      </x:c>
      <x:c r="I80" s="41" t="n">
        <x:v>0</x:v>
      </x:c>
      <x:c r="J80" s="41" t="n">
        <x:f>240+25*I80</x:f>
        <x:v>240</x:v>
      </x:c>
      <x:c r="K80" s="41" t="n">
        <x:f>K79+IF(E80="W",1,0)</x:f>
        <x:v>27</x:v>
      </x:c>
      <x:c r="L80" s="41" t="n">
        <x:f>L79+IF(E80="L",1,0)</x:f>
        <x:v>48</x:v>
      </x:c>
      <x:c r="M80" s="43" t="n">
        <x:f>B80-B79-1</x:f>
        <x:v>2</x:v>
      </x:c>
      <x:c r="N80" s="41" t="b">
        <x:f>M80=0</x:f>
        <x:v>0</x:v>
      </x:c>
      <x:c r="O80" s="41" t="str">
        <x:v>ROSTER</x:v>
      </x:c>
      <x:c r="P80" s="44" t="b">
        <x:v>0</x:v>
      </x:c>
      <x:c r="Q80" s="45" t="str">
        <x:v>HOLD</x:v>
      </x:c>
      <x:c r="R80" s="45" t="n">
        <x:v>0</x:v>
      </x:c>
      <x:c r="S80" s="45" t="n">
        <x:v>0</x:v>
      </x:c>
      <x:c r="T80" s="45" t="n">
        <x:v>0</x:v>
      </x:c>
      <x:c r="U80" s="46" t="n">
        <x:f>R80-S80-T80</x:f>
        <x:v>0</x:v>
      </x:c>
      <x:c r="V80" s="46" t="str">
        <x:v>HOLD</x:v>
      </x:c>
      <x:c r="W80" s="46" t="str">
        <x:v>HOLD</x:v>
      </x:c>
      <x:c r="X80" s="46" t="str">
        <x:v>PENDING</x:v>
      </x:c>
      <x:c r="Y80" s="46" t="str">
        <x:v>S01/S02/S03</x:v>
      </x:c>
    </x:row>
    <x:row r="81">
      <x:c r="A81" s="41" t="n">
        <x:v>76</x:v>
      </x:c>
      <x:c r="B81" s="42" t="n">
        <x:v>43553.5</x:v>
      </x:c>
      <x:c r="C81" s="41" t="str">
        <x:v>H</x:v>
      </x:c>
      <x:c r="D81" s="41" t="str">
        <x:v>Portland Trail Blazers</x:v>
      </x:c>
      <x:c r="E81" s="41" t="str">
        <x:v>L</x:v>
      </x:c>
      <x:c r="F81" s="41" t="n">
        <x:v>98</x:v>
      </x:c>
      <x:c r="G81" s="41" t="n">
        <x:v>118</x:v>
      </x:c>
      <x:c r="H81" s="41" t="n">
        <x:f>F81-G81</x:f>
        <x:v>-20</x:v>
      </x:c>
      <x:c r="I81" s="41" t="n">
        <x:v>0</x:v>
      </x:c>
      <x:c r="J81" s="41" t="n">
        <x:f>240+25*I81</x:f>
        <x:v>240</x:v>
      </x:c>
      <x:c r="K81" s="41" t="n">
        <x:f>K80+IF(E81="W",1,0)</x:f>
        <x:v>27</x:v>
      </x:c>
      <x:c r="L81" s="41" t="n">
        <x:f>L80+IF(E81="L",1,0)</x:f>
        <x:v>49</x:v>
      </x:c>
      <x:c r="M81" s="43" t="n">
        <x:f>B81-B80-1</x:f>
        <x:v>2</x:v>
      </x:c>
      <x:c r="N81" s="41" t="b">
        <x:f>M81=0</x:f>
        <x:v>0</x:v>
      </x:c>
      <x:c r="O81" s="41" t="str">
        <x:v>ROSTER</x:v>
      </x:c>
      <x:c r="P81" s="44" t="b">
        <x:v>0</x:v>
      </x:c>
      <x:c r="Q81" s="45" t="str">
        <x:v>HOLD</x:v>
      </x:c>
      <x:c r="R81" s="45" t="n">
        <x:v>0</x:v>
      </x:c>
      <x:c r="S81" s="45" t="n">
        <x:v>0</x:v>
      </x:c>
      <x:c r="T81" s="45" t="n">
        <x:v>0</x:v>
      </x:c>
      <x:c r="U81" s="46" t="n">
        <x:f>R81-S81-T81</x:f>
        <x:v>0</x:v>
      </x:c>
      <x:c r="V81" s="46" t="str">
        <x:v>HOLD</x:v>
      </x:c>
      <x:c r="W81" s="46" t="str">
        <x:v>HOLD</x:v>
      </x:c>
      <x:c r="X81" s="46" t="str">
        <x:v>PENDING</x:v>
      </x:c>
      <x:c r="Y81" s="46" t="str">
        <x:v>S01/S02/S03</x:v>
      </x:c>
    </x:row>
    <x:row r="82">
      <x:c r="A82" s="41" t="n">
        <x:v>77</x:v>
      </x:c>
      <x:c r="B82" s="42" t="n">
        <x:v>43555.5</x:v>
      </x:c>
      <x:c r="C82" s="41" t="str">
        <x:v>H</x:v>
      </x:c>
      <x:c r="D82" s="41" t="str">
        <x:v>Milwaukee Bucks</x:v>
      </x:c>
      <x:c r="E82" s="41" t="str">
        <x:v>W</x:v>
      </x:c>
      <x:c r="F82" s="41" t="n">
        <x:v>136</x:v>
      </x:c>
      <x:c r="G82" s="41" t="n">
        <x:v>135</x:v>
      </x:c>
      <x:c r="H82" s="41" t="n">
        <x:f>F82-G82</x:f>
        <x:v>1</x:v>
      </x:c>
      <x:c r="I82" s="41" t="n">
        <x:v>1</x:v>
      </x:c>
      <x:c r="J82" s="41" t="n">
        <x:f>240+25*I82</x:f>
        <x:v>265</x:v>
      </x:c>
      <x:c r="K82" s="41" t="n">
        <x:f>K81+IF(E82="W",1,0)</x:f>
        <x:v>28</x:v>
      </x:c>
      <x:c r="L82" s="41" t="n">
        <x:f>L81+IF(E82="L",1,0)</x:f>
        <x:v>49</x:v>
      </x:c>
      <x:c r="M82" s="43" t="n">
        <x:f>B82-B81-1</x:f>
        <x:v>1</x:v>
      </x:c>
      <x:c r="N82" s="41" t="b">
        <x:f>M82=0</x:f>
        <x:v>0</x:v>
      </x:c>
      <x:c r="O82" s="41" t="str">
        <x:v>ROSTER</x:v>
      </x:c>
      <x:c r="P82" s="44" t="b">
        <x:v>0</x:v>
      </x:c>
      <x:c r="Q82" s="45" t="str">
        <x:v>HOLD</x:v>
      </x:c>
      <x:c r="R82" s="45" t="n">
        <x:v>0</x:v>
      </x:c>
      <x:c r="S82" s="45" t="n">
        <x:v>0</x:v>
      </x:c>
      <x:c r="T82" s="45" t="n">
        <x:v>0</x:v>
      </x:c>
      <x:c r="U82" s="46" t="n">
        <x:f>R82-S82-T82</x:f>
        <x:v>0</x:v>
      </x:c>
      <x:c r="V82" s="46" t="str">
        <x:v>HOLD</x:v>
      </x:c>
      <x:c r="W82" s="46" t="str">
        <x:v>HOLD</x:v>
      </x:c>
      <x:c r="X82" s="46" t="str">
        <x:v>PENDING</x:v>
      </x:c>
      <x:c r="Y82" s="46" t="str">
        <x:v>S01/S02/S03</x:v>
      </x:c>
    </x:row>
    <x:row r="83">
      <x:c r="A83" s="41" t="n">
        <x:v>78</x:v>
      </x:c>
      <x:c r="B83" s="42" t="n">
        <x:v>43557.5</x:v>
      </x:c>
      <x:c r="C83" s="41" t="str">
        <x:v>A</x:v>
      </x:c>
      <x:c r="D83" s="41" t="str">
        <x:v>San Antonio Spurs</x:v>
      </x:c>
      <x:c r="E83" s="41" t="str">
        <x:v>L</x:v>
      </x:c>
      <x:c r="F83" s="41" t="n">
        <x:v>111</x:v>
      </x:c>
      <x:c r="G83" s="41" t="n">
        <x:v>117</x:v>
      </x:c>
      <x:c r="H83" s="41" t="n">
        <x:f>F83-G83</x:f>
        <x:v>-6</x:v>
      </x:c>
      <x:c r="I83" s="41" t="n">
        <x:v>0</x:v>
      </x:c>
      <x:c r="J83" s="41" t="n">
        <x:f>240+25*I83</x:f>
        <x:v>240</x:v>
      </x:c>
      <x:c r="K83" s="41" t="n">
        <x:f>K82+IF(E83="W",1,0)</x:f>
        <x:v>28</x:v>
      </x:c>
      <x:c r="L83" s="41" t="n">
        <x:f>L82+IF(E83="L",1,0)</x:f>
        <x:v>50</x:v>
      </x:c>
      <x:c r="M83" s="43" t="n">
        <x:f>B83-B82-1</x:f>
        <x:v>1</x:v>
      </x:c>
      <x:c r="N83" s="41" t="b">
        <x:f>M83=0</x:f>
        <x:v>0</x:v>
      </x:c>
      <x:c r="O83" s="41" t="str">
        <x:v>ROSTER</x:v>
      </x:c>
      <x:c r="P83" s="44" t="b">
        <x:v>0</x:v>
      </x:c>
      <x:c r="Q83" s="45" t="str">
        <x:v>HOLD</x:v>
      </x:c>
      <x:c r="R83" s="45" t="n">
        <x:v>0</x:v>
      </x:c>
      <x:c r="S83" s="45" t="n">
        <x:v>0</x:v>
      </x:c>
      <x:c r="T83" s="45" t="n">
        <x:v>0</x:v>
      </x:c>
      <x:c r="U83" s="46" t="n">
        <x:f>R83-S83-T83</x:f>
        <x:v>0</x:v>
      </x:c>
      <x:c r="V83" s="46" t="str">
        <x:v>HOLD</x:v>
      </x:c>
      <x:c r="W83" s="46" t="str">
        <x:v>HOLD</x:v>
      </x:c>
      <x:c r="X83" s="46" t="str">
        <x:v>PENDING</x:v>
      </x:c>
      <x:c r="Y83" s="46" t="str">
        <x:v>S01/S02/S03</x:v>
      </x:c>
    </x:row>
    <x:row r="84">
      <x:c r="A84" s="41" t="n">
        <x:v>79</x:v>
      </x:c>
      <x:c r="B84" s="42" t="n">
        <x:v>43558.5</x:v>
      </x:c>
      <x:c r="C84" s="41" t="str">
        <x:v>H</x:v>
      </x:c>
      <x:c r="D84" s="41" t="str">
        <x:v>Philadelphia 76ers</x:v>
      </x:c>
      <x:c r="E84" s="41" t="str">
        <x:v>W</x:v>
      </x:c>
      <x:c r="F84" s="41" t="n">
        <x:v>130</x:v>
      </x:c>
      <x:c r="G84" s="41" t="n">
        <x:v>122</x:v>
      </x:c>
      <x:c r="H84" s="41" t="n">
        <x:f>F84-G84</x:f>
        <x:v>8</x:v>
      </x:c>
      <x:c r="I84" s="41" t="n">
        <x:v>0</x:v>
      </x:c>
      <x:c r="J84" s="41" t="n">
        <x:f>240+25*I84</x:f>
        <x:v>240</x:v>
      </x:c>
      <x:c r="K84" s="41" t="n">
        <x:f>K83+IF(E84="W",1,0)</x:f>
        <x:v>29</x:v>
      </x:c>
      <x:c r="L84" s="41" t="n">
        <x:f>L83+IF(E84="L",1,0)</x:f>
        <x:v>50</x:v>
      </x:c>
      <x:c r="M84" s="43" t="n">
        <x:f>B84-B83-1</x:f>
        <x:v>0</x:v>
      </x:c>
      <x:c r="N84" s="41" t="b">
        <x:f>M84=0</x:f>
        <x:v>1</x:v>
      </x:c>
      <x:c r="O84" s="41" t="str">
        <x:v>ROSTER</x:v>
      </x:c>
      <x:c r="P84" s="44" t="b">
        <x:v>0</x:v>
      </x:c>
      <x:c r="Q84" s="45" t="str">
        <x:v>HOLD</x:v>
      </x:c>
      <x:c r="R84" s="45" t="n">
        <x:v>0</x:v>
      </x:c>
      <x:c r="S84" s="45" t="n">
        <x:v>0</x:v>
      </x:c>
      <x:c r="T84" s="45" t="n">
        <x:v>0</x:v>
      </x:c>
      <x:c r="U84" s="46" t="n">
        <x:f>R84-S84-T84</x:f>
        <x:v>0</x:v>
      </x:c>
      <x:c r="V84" s="46" t="str">
        <x:v>HOLD</x:v>
      </x:c>
      <x:c r="W84" s="46" t="str">
        <x:v>HOLD</x:v>
      </x:c>
      <x:c r="X84" s="46" t="str">
        <x:v>PENDING</x:v>
      </x:c>
      <x:c r="Y84" s="46" t="str">
        <x:v>S01/S02/S03</x:v>
      </x:c>
    </x:row>
    <x:row r="85">
      <x:c r="A85" s="41" t="n">
        <x:v>80</x:v>
      </x:c>
      <x:c r="B85" s="42" t="n">
        <x:v>43560.5</x:v>
      </x:c>
      <x:c r="C85" s="41" t="str">
        <x:v>A</x:v>
      </x:c>
      <x:c r="D85" s="41" t="str">
        <x:v>Orlando Magic</x:v>
      </x:c>
      <x:c r="E85" s="41" t="str">
        <x:v>L</x:v>
      </x:c>
      <x:c r="F85" s="41" t="n">
        <x:v>113</x:v>
      </x:c>
      <x:c r="G85" s="41" t="n">
        <x:v>149</x:v>
      </x:c>
      <x:c r="H85" s="41" t="n">
        <x:f>F85-G85</x:f>
        <x:v>-36</x:v>
      </x:c>
      <x:c r="I85" s="41" t="n">
        <x:v>0</x:v>
      </x:c>
      <x:c r="J85" s="41" t="n">
        <x:f>240+25*I85</x:f>
        <x:v>240</x:v>
      </x:c>
      <x:c r="K85" s="41" t="n">
        <x:f>K84+IF(E85="W",1,0)</x:f>
        <x:v>29</x:v>
      </x:c>
      <x:c r="L85" s="41" t="n">
        <x:f>L84+IF(E85="L",1,0)</x:f>
        <x:v>51</x:v>
      </x:c>
      <x:c r="M85" s="43" t="n">
        <x:f>B85-B84-1</x:f>
        <x:v>1</x:v>
      </x:c>
      <x:c r="N85" s="41" t="b">
        <x:f>M85=0</x:f>
        <x:v>0</x:v>
      </x:c>
      <x:c r="O85" s="41" t="str">
        <x:v>ROSTER</x:v>
      </x:c>
      <x:c r="P85" s="44" t="b">
        <x:v>0</x:v>
      </x:c>
      <x:c r="Q85" s="45" t="str">
        <x:v>HOLD</x:v>
      </x:c>
      <x:c r="R85" s="45" t="n">
        <x:v>0</x:v>
      </x:c>
      <x:c r="S85" s="45" t="n">
        <x:v>0</x:v>
      </x:c>
      <x:c r="T85" s="45" t="n">
        <x:v>0</x:v>
      </x:c>
      <x:c r="U85" s="46" t="n">
        <x:f>R85-S85-T85</x:f>
        <x:v>0</x:v>
      </x:c>
      <x:c r="V85" s="46" t="str">
        <x:v>HOLD</x:v>
      </x:c>
      <x:c r="W85" s="46" t="str">
        <x:v>HOLD</x:v>
      </x:c>
      <x:c r="X85" s="46" t="str">
        <x:v>PENDING</x:v>
      </x:c>
      <x:c r="Y85" s="46" t="str">
        <x:v>S01/S02/S03</x:v>
      </x:c>
    </x:row>
    <x:row r="86">
      <x:c r="A86" s="41" t="n">
        <x:v>81</x:v>
      </x:c>
      <x:c r="B86" s="42" t="n">
        <x:v>43562.5</x:v>
      </x:c>
      <x:c r="C86" s="41" t="str">
        <x:v>A</x:v>
      </x:c>
      <x:c r="D86" s="41" t="str">
        <x:v>Milwaukee Bucks</x:v>
      </x:c>
      <x:c r="E86" s="41" t="str">
        <x:v>L</x:v>
      </x:c>
      <x:c r="F86" s="41" t="n">
        <x:v>107</x:v>
      </x:c>
      <x:c r="G86" s="41" t="n">
        <x:v>115</x:v>
      </x:c>
      <x:c r="H86" s="41" t="n">
        <x:f>F86-G86</x:f>
        <x:v>-8</x:v>
      </x:c>
      <x:c r="I86" s="41" t="n">
        <x:v>0</x:v>
      </x:c>
      <x:c r="J86" s="41" t="n">
        <x:f>240+25*I86</x:f>
        <x:v>240</x:v>
      </x:c>
      <x:c r="K86" s="41" t="n">
        <x:f>K85+IF(E86="W",1,0)</x:f>
        <x:v>29</x:v>
      </x:c>
      <x:c r="L86" s="41" t="n">
        <x:f>L85+IF(E86="L",1,0)</x:f>
        <x:v>52</x:v>
      </x:c>
      <x:c r="M86" s="43" t="n">
        <x:f>B86-B85-1</x:f>
        <x:v>1</x:v>
      </x:c>
      <x:c r="N86" s="41" t="b">
        <x:f>M86=0</x:f>
        <x:v>0</x:v>
      </x:c>
      <x:c r="O86" s="41" t="str">
        <x:v>ROSTER</x:v>
      </x:c>
      <x:c r="P86" s="44" t="b">
        <x:v>0</x:v>
      </x:c>
      <x:c r="Q86" s="45" t="str">
        <x:v>HOLD</x:v>
      </x:c>
      <x:c r="R86" s="45" t="n">
        <x:v>0</x:v>
      </x:c>
      <x:c r="S86" s="45" t="n">
        <x:v>0</x:v>
      </x:c>
      <x:c r="T86" s="45" t="n">
        <x:v>0</x:v>
      </x:c>
      <x:c r="U86" s="46" t="n">
        <x:f>R86-S86-T86</x:f>
        <x:v>0</x:v>
      </x:c>
      <x:c r="V86" s="46" t="str">
        <x:v>HOLD</x:v>
      </x:c>
      <x:c r="W86" s="46" t="str">
        <x:v>HOLD</x:v>
      </x:c>
      <x:c r="X86" s="46" t="str">
        <x:v>PENDING</x:v>
      </x:c>
      <x:c r="Y86" s="46" t="str">
        <x:v>S01/S02/S03</x:v>
      </x:c>
    </x:row>
    <x:row r="87">
      <x:c r="A87" s="41" t="n">
        <x:v>82</x:v>
      </x:c>
      <x:c r="B87" s="42" t="n">
        <x:v>43565.5</x:v>
      </x:c>
      <x:c r="C87" s="41" t="str">
        <x:v>H</x:v>
      </x:c>
      <x:c r="D87" s="41" t="str">
        <x:v>Indiana Pacers</x:v>
      </x:c>
      <x:c r="E87" s="41" t="str">
        <x:v>L</x:v>
      </x:c>
      <x:c r="F87" s="41" t="n">
        <x:v>134</x:v>
      </x:c>
      <x:c r="G87" s="41" t="n">
        <x:v>135</x:v>
      </x:c>
      <x:c r="H87" s="41" t="n">
        <x:f>F87-G87</x:f>
        <x:v>-1</x:v>
      </x:c>
      <x:c r="I87" s="41" t="n">
        <x:v>0</x:v>
      </x:c>
      <x:c r="J87" s="41" t="n">
        <x:f>240+25*I87</x:f>
        <x:v>240</x:v>
      </x:c>
      <x:c r="K87" s="41" t="n">
        <x:f>K86+IF(E87="W",1,0)</x:f>
        <x:v>29</x:v>
      </x:c>
      <x:c r="L87" s="41" t="n">
        <x:f>L86+IF(E87="L",1,0)</x:f>
        <x:v>53</x:v>
      </x:c>
      <x:c r="M87" s="43" t="n">
        <x:f>B87-B86-1</x:f>
        <x:v>2</x:v>
      </x:c>
      <x:c r="N87" s="41" t="b">
        <x:f>M87=0</x:f>
        <x:v>0</x:v>
      </x:c>
      <x:c r="O87" s="41" t="str">
        <x:v>ROSTER</x:v>
      </x:c>
      <x:c r="P87" s="44" t="b">
        <x:v>0</x:v>
      </x:c>
      <x:c r="Q87" s="45" t="str">
        <x:v>HOLD</x:v>
      </x:c>
      <x:c r="R87" s="45" t="n">
        <x:v>0</x:v>
      </x:c>
      <x:c r="S87" s="45" t="n">
        <x:v>0</x:v>
      </x:c>
      <x:c r="T87" s="45" t="n">
        <x:v>0</x:v>
      </x:c>
      <x:c r="U87" s="46" t="n">
        <x:f>R87-S87-T87</x:f>
        <x:v>0</x:v>
      </x:c>
      <x:c r="V87" s="46" t="str">
        <x:v>HOLD</x:v>
      </x:c>
      <x:c r="W87" s="46" t="str">
        <x:v>HOLD</x:v>
      </x:c>
      <x:c r="X87" s="46" t="str">
        <x:v>PENDING</x:v>
      </x:c>
      <x:c r="Y87" s="46" t="str">
        <x:v>S01/S02/S03</x:v>
      </x:c>
    </x:row>
  </x:sheetData>
  <x:mergeCells>
    <x:mergeCell ref="A1:Y2"/>
    <x:mergeCell ref="A3:Y3"/>
  </x:mergeCells>
  <x:pageMargins left="0.7" right="0.7" top="0.75" bottom="0.75" header="0.3" footer="0.3"/>
  <x:tableParts count="1">
    <x:tablePart xmlns:r="http://schemas.openxmlformats.org/officeDocument/2006/relationships" r:id="R70e1b02e502342a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2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32" customHeight="1">
      <x:c r="A1" s="3" t="str">
        <x:v>ATLANTA 2018-19 — ROSTER MINUTES &amp; REALLOCATION FIREWALL</x:v>
      </x:c>
    </x:row>
    <x:row r="3">
      <x:c r="A3" s="47" t="str">
        <x:v>Published integer player minutes sum two minutes below game capacity because of source rounding. Allow the two-minute audit delta; never spend it as new minutes.</x:v>
      </x:c>
    </x:row>
    <x:row r="5">
      <x:c r="A5" s="11" t="str">
        <x:v>Player</x:v>
      </x:c>
      <x:c r="B5" s="11" t="str">
        <x:v>Pos</x:v>
      </x:c>
      <x:c r="C5" s="11" t="str">
        <x:v>GP</x:v>
      </x:c>
      <x:c r="D5" s="11" t="str">
        <x:v>GS</x:v>
      </x:c>
      <x:c r="E5" s="11" t="str">
        <x:v>Minutes</x:v>
      </x:c>
      <x:c r="F5" s="11" t="str">
        <x:v>MPG</x:v>
      </x:c>
      <x:c r="G5" s="11" t="str">
        <x:v>Pool</x:v>
      </x:c>
      <x:c r="H5" s="11" t="str">
        <x:v>Max removable</x:v>
      </x:c>
      <x:c r="I5" s="11" t="str">
        <x:v>Allocated to protagonist</x:v>
      </x:c>
      <x:c r="J5" s="11" t="str">
        <x:v>Post-CF minutes</x:v>
      </x:c>
      <x:c r="K5" s="11" t="str">
        <x:v>Delta check</x:v>
      </x:c>
      <x:c r="L5" s="11" t="str">
        <x:v>Source ID</x:v>
      </x:c>
    </x:row>
    <x:row r="6">
      <x:c r="A6" s="30" t="str">
        <x:v>Trae Young</x:v>
      </x:c>
      <x:c r="B6" s="30" t="str">
        <x:v>G</x:v>
      </x:c>
      <x:c r="C6" s="30" t="n">
        <x:v>81</x:v>
      </x:c>
      <x:c r="D6" s="30" t="n">
        <x:v>81</x:v>
      </x:c>
      <x:c r="E6" s="30" t="n">
        <x:v>2503</x:v>
      </x:c>
      <x:c r="F6" s="49" t="n">
        <x:f>IF(C6=0,0,E6/C6)</x:f>
        <x:v>30.901234567901234</x:v>
      </x:c>
      <x:c r="G6" s="30" t="str">
        <x:v>PROTECTED_CORE</x:v>
      </x:c>
      <x:c r="H6" s="38" t="n">
        <x:v>0</x:v>
      </x:c>
      <x:c r="I6" s="38" t="n">
        <x:v>0</x:v>
      </x:c>
      <x:c r="J6" s="39" t="n">
        <x:f>E6-I6</x:f>
        <x:v>2503</x:v>
      </x:c>
      <x:c r="K6" s="39" t="n">
        <x:f>J6+I6-E6</x:f>
        <x:v>0</x:v>
      </x:c>
      <x:c r="L6" s="30" t="str">
        <x:v>S04</x:v>
      </x:c>
    </x:row>
    <x:row r="7">
      <x:c r="A7" s="30" t="str">
        <x:v>Kevin Huerter</x:v>
      </x:c>
      <x:c r="B7" s="30" t="str">
        <x:v>G</x:v>
      </x:c>
      <x:c r="C7" s="30" t="n">
        <x:v>75</x:v>
      </x:c>
      <x:c r="D7" s="30" t="n">
        <x:v>59</x:v>
      </x:c>
      <x:c r="E7" s="30" t="n">
        <x:v>2048</x:v>
      </x:c>
      <x:c r="F7" s="49" t="n">
        <x:f>IF(C7=0,0,E7/C7)</x:f>
        <x:v>27.30666666666667</x:v>
      </x:c>
      <x:c r="G7" s="30" t="str">
        <x:v>PROTECTED_CORE</x:v>
      </x:c>
      <x:c r="H7" s="38" t="n">
        <x:v>0</x:v>
      </x:c>
      <x:c r="I7" s="38" t="n">
        <x:v>0</x:v>
      </x:c>
      <x:c r="J7" s="39" t="n">
        <x:f>E7-I7</x:f>
        <x:v>2048</x:v>
      </x:c>
      <x:c r="K7" s="39" t="n">
        <x:f>J7+I7-E7</x:f>
        <x:v>0</x:v>
      </x:c>
      <x:c r="L7" s="30" t="str">
        <x:v>S04</x:v>
      </x:c>
    </x:row>
    <x:row r="8">
      <x:c r="A8" s="30" t="str">
        <x:v>DeAndre' Bembry</x:v>
      </x:c>
      <x:c r="B8" s="30" t="str">
        <x:v>SF</x:v>
      </x:c>
      <x:c r="C8" s="30" t="n">
        <x:v>82</x:v>
      </x:c>
      <x:c r="D8" s="30" t="n">
        <x:v>15</x:v>
      </x:c>
      <x:c r="E8" s="30" t="n">
        <x:v>1931</x:v>
      </x:c>
      <x:c r="F8" s="49" t="n">
        <x:f>IF(C8=0,0,E8/C8)</x:f>
        <x:v>23.548780487804876</x:v>
      </x:c>
      <x:c r="G8" s="30" t="str">
        <x:v>PROTECTED_ROLE</x:v>
      </x:c>
      <x:c r="H8" s="38" t="n">
        <x:v>0</x:v>
      </x:c>
      <x:c r="I8" s="38" t="n">
        <x:v>0</x:v>
      </x:c>
      <x:c r="J8" s="39" t="n">
        <x:f>E8-I8</x:f>
        <x:v>1931</x:v>
      </x:c>
      <x:c r="K8" s="39" t="n">
        <x:f>J8+I8-E8</x:f>
        <x:v>0</x:v>
      </x:c>
      <x:c r="L8" s="30" t="str">
        <x:v>S04</x:v>
      </x:c>
    </x:row>
    <x:row r="9">
      <x:c r="A9" s="30" t="str">
        <x:v>John Collins</x:v>
      </x:c>
      <x:c r="B9" s="30" t="str">
        <x:v>F</x:v>
      </x:c>
      <x:c r="C9" s="30" t="n">
        <x:v>61</x:v>
      </x:c>
      <x:c r="D9" s="30" t="n">
        <x:v>59</x:v>
      </x:c>
      <x:c r="E9" s="30" t="n">
        <x:v>1829</x:v>
      </x:c>
      <x:c r="F9" s="49" t="n">
        <x:f>IF(C9=0,0,E9/C9)</x:f>
        <x:v>29.983606557377048</x:v>
      </x:c>
      <x:c r="G9" s="30" t="str">
        <x:v>PROTECTED_CORE</x:v>
      </x:c>
      <x:c r="H9" s="38" t="n">
        <x:v>0</x:v>
      </x:c>
      <x:c r="I9" s="38" t="n">
        <x:v>0</x:v>
      </x:c>
      <x:c r="J9" s="39" t="n">
        <x:f>E9-I9</x:f>
        <x:v>1829</x:v>
      </x:c>
      <x:c r="K9" s="39" t="n">
        <x:f>J9+I9-E9</x:f>
        <x:v>0</x:v>
      </x:c>
      <x:c r="L9" s="30" t="str">
        <x:v>S04</x:v>
      </x:c>
    </x:row>
    <x:row r="10">
      <x:c r="A10" s="30" t="str">
        <x:v>Kent Bazemore</x:v>
      </x:c>
      <x:c r="B10" s="30" t="str">
        <x:v>G</x:v>
      </x:c>
      <x:c r="C10" s="30" t="n">
        <x:v>67</x:v>
      </x:c>
      <x:c r="D10" s="30" t="n">
        <x:v>35</x:v>
      </x:c>
      <x:c r="E10" s="30" t="n">
        <x:v>1643</x:v>
      </x:c>
      <x:c r="F10" s="49" t="n">
        <x:f>IF(C10=0,0,E10/C10)</x:f>
        <x:v>24.52238805970149</x:v>
      </x:c>
      <x:c r="G10" s="30" t="str">
        <x:v>PROTECTED_ROLE</x:v>
      </x:c>
      <x:c r="H10" s="38" t="n">
        <x:v>0</x:v>
      </x:c>
      <x:c r="I10" s="38" t="n">
        <x:v>0</x:v>
      </x:c>
      <x:c r="J10" s="39" t="n">
        <x:f>E10-I10</x:f>
        <x:v>1643</x:v>
      </x:c>
      <x:c r="K10" s="39" t="n">
        <x:f>J10+I10-E10</x:f>
        <x:v>0</x:v>
      </x:c>
      <x:c r="L10" s="30" t="str">
        <x:v>S04</x:v>
      </x:c>
    </x:row>
    <x:row r="11">
      <x:c r="A11" s="30" t="str">
        <x:v>Dewayne Dedmon</x:v>
      </x:c>
      <x:c r="B11" s="30" t="str">
        <x:v>C</x:v>
      </x:c>
      <x:c r="C11" s="30" t="n">
        <x:v>64</x:v>
      </x:c>
      <x:c r="D11" s="30" t="n">
        <x:v>52</x:v>
      </x:c>
      <x:c r="E11" s="30" t="n">
        <x:v>1609</x:v>
      </x:c>
      <x:c r="F11" s="49" t="n">
        <x:f>IF(C11=0,0,E11/C11)</x:f>
        <x:v>25.140625</x:v>
      </x:c>
      <x:c r="G11" s="30" t="str">
        <x:v>CENTER_POOL</x:v>
      </x:c>
      <x:c r="H11" s="38" t="n">
        <x:v>0</x:v>
      </x:c>
      <x:c r="I11" s="38" t="n">
        <x:v>0</x:v>
      </x:c>
      <x:c r="J11" s="39" t="n">
        <x:f>E11-I11</x:f>
        <x:v>1609</x:v>
      </x:c>
      <x:c r="K11" s="39" t="n">
        <x:f>J11+I11-E11</x:f>
        <x:v>0</x:v>
      </x:c>
      <x:c r="L11" s="30" t="str">
        <x:v>S04</x:v>
      </x:c>
    </x:row>
    <x:row r="12">
      <x:c r="A12" s="30" t="str">
        <x:v>Taurean Prince</x:v>
      </x:c>
      <x:c r="B12" s="30" t="str">
        <x:v>SF</x:v>
      </x:c>
      <x:c r="C12" s="30" t="n">
        <x:v>55</x:v>
      </x:c>
      <x:c r="D12" s="30" t="n">
        <x:v>47</x:v>
      </x:c>
      <x:c r="E12" s="30" t="n">
        <x:v>1552</x:v>
      </x:c>
      <x:c r="F12" s="49" t="n">
        <x:f>IF(C12=0,0,E12/C12)</x:f>
        <x:v>28.21818181818182</x:v>
      </x:c>
      <x:c r="G12" s="30" t="str">
        <x:v>PROTECTED_ROLE</x:v>
      </x:c>
      <x:c r="H12" s="38" t="n">
        <x:v>0</x:v>
      </x:c>
      <x:c r="I12" s="38" t="n">
        <x:v>0</x:v>
      </x:c>
      <x:c r="J12" s="39" t="n">
        <x:f>E12-I12</x:f>
        <x:v>1552</x:v>
      </x:c>
      <x:c r="K12" s="39" t="n">
        <x:f>J12+I12-E12</x:f>
        <x:v>0</x:v>
      </x:c>
      <x:c r="L12" s="30" t="str">
        <x:v>S04</x:v>
      </x:c>
    </x:row>
    <x:row r="13">
      <x:c r="A13" s="30" t="str">
        <x:v>Alex Len</x:v>
      </x:c>
      <x:c r="B13" s="30" t="str">
        <x:v>C</x:v>
      </x:c>
      <x:c r="C13" s="30" t="n">
        <x:v>77</x:v>
      </x:c>
      <x:c r="D13" s="30" t="n">
        <x:v>31</x:v>
      </x:c>
      <x:c r="E13" s="30" t="n">
        <x:v>1544</x:v>
      </x:c>
      <x:c r="F13" s="49" t="n">
        <x:f>IF(C13=0,0,E13/C13)</x:f>
        <x:v>20.051948051948052</x:v>
      </x:c>
      <x:c r="G13" s="30" t="str">
        <x:v>CENTER_POOL</x:v>
      </x:c>
      <x:c r="H13" s="38" t="n">
        <x:v>0</x:v>
      </x:c>
      <x:c r="I13" s="38" t="n">
        <x:v>0</x:v>
      </x:c>
      <x:c r="J13" s="39" t="n">
        <x:f>E13-I13</x:f>
        <x:v>1544</x:v>
      </x:c>
      <x:c r="K13" s="39" t="n">
        <x:f>J13+I13-E13</x:f>
        <x:v>0</x:v>
      </x:c>
      <x:c r="L13" s="30" t="str">
        <x:v>S04</x:v>
      </x:c>
    </x:row>
    <x:row r="14">
      <x:c r="A14" s="30" t="str">
        <x:v>Vince Carter</x:v>
      </x:c>
      <x:c r="B14" s="30" t="str">
        <x:v>F</x:v>
      </x:c>
      <x:c r="C14" s="30" t="n">
        <x:v>76</x:v>
      </x:c>
      <x:c r="D14" s="30" t="n">
        <x:v>9</x:v>
      </x:c>
      <x:c r="E14" s="30" t="n">
        <x:v>1330</x:v>
      </x:c>
      <x:c r="F14" s="49" t="n">
        <x:f>IF(C14=0,0,E14/C14)</x:f>
        <x:v>17.5</x:v>
      </x:c>
      <x:c r="G14" s="30" t="str">
        <x:v>PROTECTED_ROLE</x:v>
      </x:c>
      <x:c r="H14" s="38" t="n">
        <x:v>0</x:v>
      </x:c>
      <x:c r="I14" s="38" t="n">
        <x:v>0</x:v>
      </x:c>
      <x:c r="J14" s="39" t="n">
        <x:f>E14-I14</x:f>
        <x:v>1330</x:v>
      </x:c>
      <x:c r="K14" s="39" t="n">
        <x:f>J14+I14-E14</x:f>
        <x:v>0</x:v>
      </x:c>
      <x:c r="L14" s="30" t="str">
        <x:v>S04</x:v>
      </x:c>
    </x:row>
    <x:row r="15">
      <x:c r="A15" s="30" t="str">
        <x:v>Jeremy Lin</x:v>
      </x:c>
      <x:c r="B15" s="30" t="str">
        <x:v>G</x:v>
      </x:c>
      <x:c r="C15" s="30" t="n">
        <x:v>51</x:v>
      </x:c>
      <x:c r="D15" s="30" t="n">
        <x:v>1</x:v>
      </x:c>
      <x:c r="E15" s="30" t="n">
        <x:v>1003</x:v>
      </x:c>
      <x:c r="F15" s="49" t="n">
        <x:f>IF(C15=0,0,E15/C15)</x:f>
        <x:v>19.666666666666668</x:v>
      </x:c>
      <x:c r="G15" s="30" t="str">
        <x:v>GUARD_POOL</x:v>
      </x:c>
      <x:c r="H15" s="38" t="n">
        <x:v>0</x:v>
      </x:c>
      <x:c r="I15" s="38" t="n">
        <x:v>0</x:v>
      </x:c>
      <x:c r="J15" s="39" t="n">
        <x:f>E15-I15</x:f>
        <x:v>1003</x:v>
      </x:c>
      <x:c r="K15" s="39" t="n">
        <x:f>J15+I15-E15</x:f>
        <x:v>0</x:v>
      </x:c>
      <x:c r="L15" s="30" t="str">
        <x:v>S04</x:v>
      </x:c>
    </x:row>
    <x:row r="16">
      <x:c r="A16" s="30" t="str">
        <x:v>Omari Spellman</x:v>
      </x:c>
      <x:c r="B16" s="30" t="str">
        <x:v>F</x:v>
      </x:c>
      <x:c r="C16" s="30" t="n">
        <x:v>46</x:v>
      </x:c>
      <x:c r="D16" s="30" t="n">
        <x:v>11</x:v>
      </x:c>
      <x:c r="E16" s="30" t="n">
        <x:v>805</x:v>
      </x:c>
      <x:c r="F16" s="49" t="n">
        <x:f>IF(C16=0,0,E16/C16)</x:f>
        <x:v>17.5</x:v>
      </x:c>
      <x:c r="G16" s="30" t="str">
        <x:v>PRIMARY_REPLACED_SLOT</x:v>
      </x:c>
      <x:c r="H16" s="38" t="n">
        <x:v>805</x:v>
      </x:c>
      <x:c r="I16" s="38" t="n">
        <x:v>0</x:v>
      </x:c>
      <x:c r="J16" s="39" t="n">
        <x:f>E16-I16</x:f>
        <x:v>805</x:v>
      </x:c>
      <x:c r="K16" s="39" t="n">
        <x:f>J16+I16-E16</x:f>
        <x:v>0</x:v>
      </x:c>
      <x:c r="L16" s="30" t="str">
        <x:v>S04</x:v>
      </x:c>
    </x:row>
    <x:row r="17">
      <x:c r="A17" s="30" t="str">
        <x:v>Justin Anderson</x:v>
      </x:c>
      <x:c r="B17" s="30" t="str">
        <x:v>SF</x:v>
      </x:c>
      <x:c r="C17" s="30" t="n">
        <x:v>48</x:v>
      </x:c>
      <x:c r="D17" s="30" t="n">
        <x:v>4</x:v>
      </x:c>
      <x:c r="E17" s="30" t="n">
        <x:v>463</x:v>
      </x:c>
      <x:c r="F17" s="49" t="n">
        <x:f>IF(C17=0,0,E17/C17)</x:f>
        <x:v>9.645833333333334</x:v>
      </x:c>
      <x:c r="G17" s="30" t="str">
        <x:v>FALLBACK_FORWARD</x:v>
      </x:c>
      <x:c r="H17" s="38" t="n">
        <x:v>463</x:v>
      </x:c>
      <x:c r="I17" s="38" t="n">
        <x:v>0</x:v>
      </x:c>
      <x:c r="J17" s="39" t="n">
        <x:f>E17-I17</x:f>
        <x:v>463</x:v>
      </x:c>
      <x:c r="K17" s="39" t="n">
        <x:f>J17+I17-E17</x:f>
        <x:v>0</x:v>
      </x:c>
      <x:c r="L17" s="30" t="str">
        <x:v>S04</x:v>
      </x:c>
    </x:row>
    <x:row r="18">
      <x:c r="A18" s="30" t="str">
        <x:v>Jaylen Adams</x:v>
      </x:c>
      <x:c r="B18" s="30" t="str">
        <x:v>G</x:v>
      </x:c>
      <x:c r="C18" s="30" t="n">
        <x:v>34</x:v>
      </x:c>
      <x:c r="D18" s="30" t="n">
        <x:v>1</x:v>
      </x:c>
      <x:c r="E18" s="30" t="n">
        <x:v>428</x:v>
      </x:c>
      <x:c r="F18" s="49" t="n">
        <x:f>IF(C18=0,0,E18/C18)</x:f>
        <x:v>12.588235294117647</x:v>
      </x:c>
      <x:c r="G18" s="30" t="str">
        <x:v>GUARD_POOL</x:v>
      </x:c>
      <x:c r="H18" s="38" t="n">
        <x:v>0</x:v>
      </x:c>
      <x:c r="I18" s="38" t="n">
        <x:v>0</x:v>
      </x:c>
      <x:c r="J18" s="39" t="n">
        <x:f>E18-I18</x:f>
        <x:v>428</x:v>
      </x:c>
      <x:c r="K18" s="39" t="n">
        <x:f>J18+I18-E18</x:f>
        <x:v>0</x:v>
      </x:c>
      <x:c r="L18" s="30" t="str">
        <x:v>S04</x:v>
      </x:c>
    </x:row>
    <x:row r="19">
      <x:c r="A19" s="30" t="str">
        <x:v>Alex Poythress</x:v>
      </x:c>
      <x:c r="B19" s="30" t="str">
        <x:v>F</x:v>
      </x:c>
      <x:c r="C19" s="30" t="n">
        <x:v>21</x:v>
      </x:c>
      <x:c r="D19" s="30" t="n">
        <x:v>1</x:v>
      </x:c>
      <x:c r="E19" s="30" t="n">
        <x:v>305</x:v>
      </x:c>
      <x:c r="F19" s="49" t="n">
        <x:f>IF(C19=0,0,E19/C19)</x:f>
        <x:v>14.523809523809524</x:v>
      </x:c>
      <x:c r="G19" s="30" t="str">
        <x:v>FALLBACK_FORWARD</x:v>
      </x:c>
      <x:c r="H19" s="38" t="n">
        <x:v>305</x:v>
      </x:c>
      <x:c r="I19" s="38" t="n">
        <x:v>0</x:v>
      </x:c>
      <x:c r="J19" s="39" t="n">
        <x:f>E19-I19</x:f>
        <x:v>305</x:v>
      </x:c>
      <x:c r="K19" s="39" t="n">
        <x:f>J19+I19-E19</x:f>
        <x:v>0</x:v>
      </x:c>
      <x:c r="L19" s="30" t="str">
        <x:v>S04</x:v>
      </x:c>
    </x:row>
    <x:row r="20">
      <x:c r="A20" s="30" t="str">
        <x:v>Tyler Dorsey</x:v>
      </x:c>
      <x:c r="B20" s="30" t="str">
        <x:v>G</x:v>
      </x:c>
      <x:c r="C20" s="30" t="n">
        <x:v>27</x:v>
      </x:c>
      <x:c r="D20" s="30" t="n">
        <x:v>0</x:v>
      </x:c>
      <x:c r="E20" s="30" t="n">
        <x:v>251</x:v>
      </x:c>
      <x:c r="F20" s="49" t="n">
        <x:f>IF(C20=0,0,E20/C20)</x:f>
        <x:v>9.296296296296296</x:v>
      </x:c>
      <x:c r="G20" s="30" t="str">
        <x:v>GUARD_POOL</x:v>
      </x:c>
      <x:c r="H20" s="38" t="n">
        <x:v>0</x:v>
      </x:c>
      <x:c r="I20" s="38" t="n">
        <x:v>0</x:v>
      </x:c>
      <x:c r="J20" s="39" t="n">
        <x:f>E20-I20</x:f>
        <x:v>251</x:v>
      </x:c>
      <x:c r="K20" s="39" t="n">
        <x:f>J20+I20-E20</x:f>
        <x:v>0</x:v>
      </x:c>
      <x:c r="L20" s="30" t="str">
        <x:v>S04</x:v>
      </x:c>
    </x:row>
    <x:row r="21">
      <x:c r="A21" s="30" t="str">
        <x:v>Daniel Hamilton</x:v>
      </x:c>
      <x:c r="B21" s="30" t="str">
        <x:v>G-F</x:v>
      </x:c>
      <x:c r="C21" s="30" t="n">
        <x:v>19</x:v>
      </x:c>
      <x:c r="D21" s="30" t="n">
        <x:v>3</x:v>
      </x:c>
      <x:c r="E21" s="30" t="n">
        <x:v>204</x:v>
      </x:c>
      <x:c r="F21" s="49" t="n">
        <x:f>IF(C21=0,0,E21/C21)</x:f>
        <x:v>10.736842105263158</x:v>
      </x:c>
      <x:c r="G21" s="30" t="str">
        <x:v>RESERVE</x:v>
      </x:c>
      <x:c r="H21" s="38" t="n">
        <x:v>0</x:v>
      </x:c>
      <x:c r="I21" s="38" t="n">
        <x:v>0</x:v>
      </x:c>
      <x:c r="J21" s="39" t="n">
        <x:f>E21-I21</x:f>
        <x:v>204</x:v>
      </x:c>
      <x:c r="K21" s="39" t="n">
        <x:f>J21+I21-E21</x:f>
        <x:v>0</x:v>
      </x:c>
      <x:c r="L21" s="30" t="str">
        <x:v>S04</x:v>
      </x:c>
    </x:row>
    <x:row r="22">
      <x:c r="A22" s="30" t="str">
        <x:v>Miles Plumlee</x:v>
      </x:c>
      <x:c r="B22" s="30" t="str">
        <x:v>F-C</x:v>
      </x:c>
      <x:c r="C22" s="30" t="n">
        <x:v>18</x:v>
      </x:c>
      <x:c r="D22" s="30" t="n">
        <x:v>0</x:v>
      </x:c>
      <x:c r="E22" s="30" t="n">
        <x:v>173</x:v>
      </x:c>
      <x:c r="F22" s="49" t="n">
        <x:f>IF(C22=0,0,E22/C22)</x:f>
        <x:v>9.61111111111111</x:v>
      </x:c>
      <x:c r="G22" s="30" t="str">
        <x:v>CENTER_POOL</x:v>
      </x:c>
      <x:c r="H22" s="38" t="n">
        <x:v>0</x:v>
      </x:c>
      <x:c r="I22" s="38" t="n">
        <x:v>0</x:v>
      </x:c>
      <x:c r="J22" s="39" t="n">
        <x:f>E22-I22</x:f>
        <x:v>173</x:v>
      </x:c>
      <x:c r="K22" s="39" t="n">
        <x:f>J22+I22-E22</x:f>
        <x:v>0</x:v>
      </x:c>
      <x:c r="L22" s="30" t="str">
        <x:v>S04</x:v>
      </x:c>
    </x:row>
    <x:row r="23">
      <x:c r="A23" s="30" t="str">
        <x:v>Deyonta Davis</x:v>
      </x:c>
      <x:c r="B23" s="30" t="str">
        <x:v>C</x:v>
      </x:c>
      <x:c r="C23" s="30" t="n">
        <x:v>9</x:v>
      </x:c>
      <x:c r="D23" s="30" t="n">
        <x:v>0</x:v>
      </x:c>
      <x:c r="E23" s="30" t="n">
        <x:v>118</x:v>
      </x:c>
      <x:c r="F23" s="49" t="n">
        <x:f>IF(C23=0,0,E23/C23)</x:f>
        <x:v>13.11111111111111</x:v>
      </x:c>
      <x:c r="G23" s="30" t="str">
        <x:v>CENTER_POOL</x:v>
      </x:c>
      <x:c r="H23" s="38" t="n">
        <x:v>0</x:v>
      </x:c>
      <x:c r="I23" s="38" t="n">
        <x:v>0</x:v>
      </x:c>
      <x:c r="J23" s="39" t="n">
        <x:f>E23-I23</x:f>
        <x:v>118</x:v>
      </x:c>
      <x:c r="K23" s="39" t="n">
        <x:f>J23+I23-E23</x:f>
        <x:v>0</x:v>
      </x:c>
      <x:c r="L23" s="30" t="str">
        <x:v>S04</x:v>
      </x:c>
    </x:row>
    <x:row r="24">
      <x:c r="A24" s="30" t="str">
        <x:v>Isaac Humphries</x:v>
      </x:c>
      <x:c r="B24" s="30" t="str">
        <x:v>C</x:v>
      </x:c>
      <x:c r="C24" s="30" t="n">
        <x:v>5</x:v>
      </x:c>
      <x:c r="D24" s="30" t="n">
        <x:v>1</x:v>
      </x:c>
      <x:c r="E24" s="30" t="n">
        <x:v>56</x:v>
      </x:c>
      <x:c r="F24" s="49" t="n">
        <x:f>IF(C24=0,0,E24/C24)</x:f>
        <x:v>11.2</x:v>
      </x:c>
      <x:c r="G24" s="30" t="str">
        <x:v>CENTER_POOL</x:v>
      </x:c>
      <x:c r="H24" s="38" t="n">
        <x:v>0</x:v>
      </x:c>
      <x:c r="I24" s="38" t="n">
        <x:v>0</x:v>
      </x:c>
      <x:c r="J24" s="39" t="n">
        <x:f>E24-I24</x:f>
        <x:v>56</x:v>
      </x:c>
      <x:c r="K24" s="39" t="n">
        <x:f>J24+I24-E24</x:f>
        <x:v>0</x:v>
      </x:c>
      <x:c r="L24" s="30" t="str">
        <x:v>S04</x:v>
      </x:c>
    </x:row>
    <x:row r="25">
      <x:c r="A25" s="30" t="str">
        <x:v>B.J. Johnson</x:v>
      </x:c>
      <x:c r="B25" s="30" t="str">
        <x:v>SF</x:v>
      </x:c>
      <x:c r="C25" s="30" t="n">
        <x:v>6</x:v>
      </x:c>
      <x:c r="D25" s="30" t="n">
        <x:v>0</x:v>
      </x:c>
      <x:c r="E25" s="30" t="n">
        <x:v>43</x:v>
      </x:c>
      <x:c r="F25" s="49" t="n">
        <x:f>IF(C25=0,0,E25/C25)</x:f>
        <x:v>7.166666666666667</x:v>
      </x:c>
      <x:c r="G25" s="30" t="str">
        <x:v>FALLBACK_FORWARD</x:v>
      </x:c>
      <x:c r="H25" s="38" t="n">
        <x:v>43</x:v>
      </x:c>
      <x:c r="I25" s="38" t="n">
        <x:v>0</x:v>
      </x:c>
      <x:c r="J25" s="39" t="n">
        <x:f>E25-I25</x:f>
        <x:v>43</x:v>
      </x:c>
      <x:c r="K25" s="39" t="n">
        <x:f>J25+I25-E25</x:f>
        <x:v>0</x:v>
      </x:c>
      <x:c r="L25" s="30" t="str">
        <x:v>S04</x:v>
      </x:c>
    </x:row>
    <x:row r="26">
      <x:c r="A26" s="30" t="str">
        <x:v>Tyler Zeller</x:v>
      </x:c>
      <x:c r="B26" s="30" t="str">
        <x:v>F-C</x:v>
      </x:c>
      <x:c r="C26" s="30" t="n">
        <x:v>2</x:v>
      </x:c>
      <x:c r="D26" s="30" t="n">
        <x:v>0</x:v>
      </x:c>
      <x:c r="E26" s="30" t="n">
        <x:v>11</x:v>
      </x:c>
      <x:c r="F26" s="49" t="n">
        <x:f>IF(C26=0,0,E26/C26)</x:f>
        <x:v>5.5</x:v>
      </x:c>
      <x:c r="G26" s="30" t="str">
        <x:v>CENTER_POOL</x:v>
      </x:c>
      <x:c r="H26" s="38" t="n">
        <x:v>0</x:v>
      </x:c>
      <x:c r="I26" s="38" t="n">
        <x:v>0</x:v>
      </x:c>
      <x:c r="J26" s="39" t="n">
        <x:f>E26-I26</x:f>
        <x:v>11</x:v>
      </x:c>
      <x:c r="K26" s="39" t="n">
        <x:f>J26+I26-E26</x:f>
        <x:v>0</x:v>
      </x:c>
      <x:c r="L26" s="30" t="str">
        <x:v>S04</x:v>
      </x:c>
    </x:row>
    <x:row r="27">
      <x:c r="A27" s="30" t="str">
        <x:v>Jordan Sibert</x:v>
      </x:c>
      <x:c r="B27" s="30" t="str">
        <x:v>SG</x:v>
      </x:c>
      <x:c r="C27" s="30" t="n">
        <x:v>1</x:v>
      </x:c>
      <x:c r="D27" s="30" t="n">
        <x:v>0</x:v>
      </x:c>
      <x:c r="E27" s="30" t="n">
        <x:v>4</x:v>
      </x:c>
      <x:c r="F27" s="49" t="n">
        <x:f>IF(C27=0,0,E27/C27)</x:f>
        <x:v>4</x:v>
      </x:c>
      <x:c r="G27" s="30" t="str">
        <x:v>RESERVE</x:v>
      </x:c>
      <x:c r="H27" s="38" t="n">
        <x:v>0</x:v>
      </x:c>
      <x:c r="I27" s="38" t="n">
        <x:v>0</x:v>
      </x:c>
      <x:c r="J27" s="39" t="n">
        <x:f>E27-I27</x:f>
        <x:v>4</x:v>
      </x:c>
      <x:c r="K27" s="39" t="n">
        <x:f>J27+I27-E27</x:f>
        <x:v>0</x:v>
      </x:c>
      <x:c r="L27" s="30" t="str">
        <x:v>S04</x:v>
      </x:c>
    </x:row>
    <x:row r="29">
      <x:c r="A29" s="6" t="str">
        <x:v>TOTAL</x:v>
      </x:c>
      <x:c r="B29" s="6"/>
      <x:c r="C29" s="6"/>
      <x:c r="D29" s="6"/>
      <x:c r="E29" s="6" t="n">
        <x:f>SUM(E6:E27)</x:f>
        <x:v>19853</x:v>
      </x:c>
      <x:c r="F29" s="6"/>
      <x:c r="G29" s="6"/>
      <x:c r="H29" s="6" t="n">
        <x:f>SUM(H6:H27)</x:f>
        <x:v>1616</x:v>
      </x:c>
      <x:c r="I29" s="6" t="n">
        <x:f>SUM(I6:I27)</x:f>
        <x:v>0</x:v>
      </x:c>
      <x:c r="J29" s="6" t="n">
        <x:f>SUM(J6:J27)</x:f>
        <x:v>19853</x:v>
      </x:c>
      <x:c r="K29" s="6" t="n">
        <x:f>SUM(K6:K27)</x:f>
        <x:v>0</x:v>
      </x:c>
      <x:c r="L29" s="6"/>
    </x:row>
    <x:row r="31">
      <x:c r="A31" s="50" t="str">
        <x:v>Primary rule</x:v>
      </x:c>
      <x:c r="B31" s="50" t="str">
        <x:v>Protagonist total ≤ 805</x:v>
      </x:c>
      <x:c r="C31" s="50"/>
      <x:c r="D31" s="50" t="str">
        <x:v>Fallback rule</x:v>
      </x:c>
      <x:c r="E31" s="50" t="str">
        <x:v>Use Anderson/Poythress/B.J. Johnson only with date-specific availability proof</x:v>
      </x:c>
      <x:c r="F31" s="50"/>
      <x:c r="G31" s="50"/>
      <x:c r="H31" s="50" t="str">
        <x:v>Protected</x:v>
      </x:c>
      <x:c r="I31" s="50" t="str">
        <x:v>Young/Huerter/Collins</x:v>
      </x:c>
      <x:c r="J31" s="50"/>
      <x:c r="K31" s="50"/>
      <x:c r="L31" s="50"/>
    </x:row>
  </x:sheetData>
  <x:mergeCells>
    <x:mergeCell ref="A1:L2"/>
    <x:mergeCell ref="A3:L3"/>
    <x:mergeCell ref="B31:C31"/>
    <x:mergeCell ref="E31:G31"/>
  </x:mergeCells>
  <x:pageMargins left="0.7" right="0.7" top="0.75" bottom="0.75" header="0.3" footer="0.3"/>
  <x:tableParts count="1">
    <x:tablePart xmlns:r="http://schemas.openxmlformats.org/officeDocument/2006/relationships" r:id="R0edad3bb7357419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2" hidden="0" customWidth="1"/>
    <x:col min="4" max="4" width="34" hidden="0" customWidth="1"/>
    <x:col min="5" max="5" width="24" hidden="0" customWidth="1"/>
    <x:col min="6" max="6" width="22" hidden="0" customWidth="1"/>
    <x:col min="7" max="7" width="17" hidden="0" customWidth="1"/>
    <x:col min="8" max="8" width="17" hidden="0" customWidth="1"/>
    <x:col min="9" max="9" width="48" hidden="0" customWidth="1"/>
    <x:col min="10" max="10" width="28" hidden="0" customWidth="1"/>
    <x:col min="11" max="11" width="14" hidden="0" customWidth="1"/>
  </x:cols>
  <x:sheetData>
    <x:row r="1" ht="32" customHeight="1">
      <x:c r="A1" s="3" t="str">
        <x:v>2018 PICKS 30-60 — COMPRESSED COUNTERFACTUAL BOARD</x:v>
      </x:c>
    </x:row>
    <x:row r="4">
      <x:c r="A4" s="6" t="str">
        <x:v>Scanned picks</x:v>
      </x:c>
      <x:c r="B4" s="6" t="n">
        <x:f>COUNTA(A7:A37)</x:f>
        <x:v>31</x:v>
      </x:c>
      <x:c r="C4" s="6" t="str">
        <x:v>Changed/cascade</x:v>
      </x:c>
      <x:c r="D4" s="6" t="n">
        <x:f>COUNTIF(G7:G37,"CHANGED")+COUNTIF(G7:G37,"CASCADE")</x:f>
        <x:v>4</x:v>
      </x:c>
      <x:c r="E4" s="6" t="str">
        <x:v>Unchanged</x:v>
      </x:c>
      <x:c r="F4" s="6" t="n">
        <x:f>COUNTIF(G7:G37,"UNCHANGED")</x:f>
        <x:v>27</x:v>
      </x:c>
      <x:c r="G4" s="6" t="str">
        <x:v>Next blocker</x:v>
      </x:c>
      <x:c r="H4" s="6" t="str">
        <x:v>Dallas/Denver contracts</x:v>
      </x:c>
    </x:row>
    <x:row r="6">
      <x:c r="A6" s="11" t="str">
        <x:v>Pick</x:v>
      </x:c>
      <x:c r="B6" s="11" t="str">
        <x:v>Actual destination</x:v>
      </x:c>
      <x:c r="C6" s="11" t="str">
        <x:v>Actual player</x:v>
      </x:c>
      <x:c r="D6" s="11" t="str">
        <x:v>Actual trade/path</x:v>
      </x:c>
      <x:c r="E6" s="11" t="str">
        <x:v>CF destination</x:v>
      </x:c>
      <x:c r="F6" s="11" t="str">
        <x:v>CF player</x:v>
      </x:c>
      <x:c r="G6" s="11" t="str">
        <x:v>Status</x:v>
      </x:c>
      <x:c r="H6" s="11" t="str">
        <x:v>Incoming displaced</x:v>
      </x:c>
      <x:c r="I6" s="11" t="str">
        <x:v>Decision reason</x:v>
      </x:c>
      <x:c r="J6" s="11" t="str">
        <x:v>Downstream</x:v>
      </x:c>
      <x:c r="K6" s="11" t="str">
        <x:v>Source ID</x:v>
      </x:c>
    </x:row>
    <x:row r="7">
      <x:c r="A7" s="53" t="n">
        <x:v>30</x:v>
      </x:c>
      <x:c r="B7" s="53" t="str">
        <x:v>Atlanta Hawks</x:v>
      </x:c>
      <x:c r="C7" s="53" t="str">
        <x:v>Omari Spellman</x:v>
      </x:c>
      <x:c r="D7" s="53" t="str">
        <x:v>Own pick</x:v>
      </x:c>
      <x:c r="E7" s="53" t="str">
        <x:v>Atlanta Hawks</x:v>
      </x:c>
      <x:c r="F7" s="53" t="str">
        <x:v>Fictional protagonist</x:v>
      </x:c>
      <x:c r="G7" s="53" t="str">
        <x:v>CHANGED</x:v>
      </x:c>
      <x:c r="H7" s="53" t="str">
        <x:v>Protagonist</x:v>
      </x:c>
      <x:c r="I7" s="53" t="str">
        <x:v>The new player occupies Atlanta's actual #30 slot.</x:v>
      </x:c>
      <x:c r="J7" s="53" t="str">
        <x:v>Atlanta roster/minutes rerun</x:v>
      </x:c>
      <x:c r="K7" s="53" t="str">
        <x:v>S12/S13</x:v>
      </x:c>
    </x:row>
    <x:row r="8">
      <x:c r="A8" s="51" t="n">
        <x:v>31</x:v>
      </x:c>
      <x:c r="B8" s="51" t="str">
        <x:v>Phoenix Suns</x:v>
      </x:c>
      <x:c r="C8" s="51" t="str">
        <x:v>Elie Okobo</x:v>
      </x:c>
      <x:c r="D8" s="51" t="str">
        <x:v>Own pick</x:v>
      </x:c>
      <x:c r="E8" s="51" t="str">
        <x:v>Phoenix Suns</x:v>
      </x:c>
      <x:c r="F8" s="51" t="str">
        <x:v>Elie Okobo</x:v>
      </x:c>
      <x:c r="G8" s="52" t="str">
        <x:v>UNCHANGED</x:v>
      </x:c>
      <x:c r="H8" s="51" t="str">
        <x:v>None</x:v>
      </x:c>
      <x:c r="I8" s="51" t="str">
        <x:v>Guard-development choice remains rational.</x:v>
      </x:c>
      <x:c r="J8" s="51" t="str">
        <x:v>Actual path preserved</x:v>
      </x:c>
      <x:c r="K8" s="51" t="str">
        <x:v>S13</x:v>
      </x:c>
    </x:row>
    <x:row r="9">
      <x:c r="A9" s="51" t="n">
        <x:v>32</x:v>
      </x:c>
      <x:c r="B9" s="51" t="str">
        <x:v>Memphis Grizzlies</x:v>
      </x:c>
      <x:c r="C9" s="51" t="str">
        <x:v>Jevon Carter</x:v>
      </x:c>
      <x:c r="D9" s="51" t="str">
        <x:v>Own pick</x:v>
      </x:c>
      <x:c r="E9" s="51" t="str">
        <x:v>Memphis Grizzlies</x:v>
      </x:c>
      <x:c r="F9" s="51" t="str">
        <x:v>Jevon Carter</x:v>
      </x:c>
      <x:c r="G9" s="52" t="str">
        <x:v>UNCHANGED</x:v>
      </x:c>
      <x:c r="H9" s="51" t="str">
        <x:v>None</x:v>
      </x:c>
      <x:c r="I9" s="51" t="str">
        <x:v>Point-of-attack guard need remains distinct.</x:v>
      </x:c>
      <x:c r="J9" s="51" t="str">
        <x:v>Actual path preserved</x:v>
      </x:c>
      <x:c r="K9" s="51" t="str">
        <x:v>S13</x:v>
      </x:c>
    </x:row>
    <x:row r="10">
      <x:c r="A10" s="51" t="n">
        <x:v>33</x:v>
      </x:c>
      <x:c r="B10" s="51" t="str">
        <x:v>Dallas Mavericks</x:v>
      </x:c>
      <x:c r="C10" s="51" t="str">
        <x:v>Jalen Brunson</x:v>
      </x:c>
      <x:c r="D10" s="51" t="str">
        <x:v>Own pick</x:v>
      </x:c>
      <x:c r="E10" s="51" t="str">
        <x:v>Dallas Mavericks</x:v>
      </x:c>
      <x:c r="F10" s="51" t="str">
        <x:v>Jalen Brunson</x:v>
      </x:c>
      <x:c r="G10" s="52" t="str">
        <x:v>UNCHANGED</x:v>
      </x:c>
      <x:c r="H10" s="51" t="str">
        <x:v>None</x:v>
      </x:c>
      <x:c r="I10" s="51" t="str">
        <x:v>Lead-guard depth remains the stronger fit.</x:v>
      </x:c>
      <x:c r="J10" s="51" t="str">
        <x:v>Actual path preserved</x:v>
      </x:c>
      <x:c r="K10" s="51" t="str">
        <x:v>S13</x:v>
      </x:c>
    </x:row>
    <x:row r="11">
      <x:c r="A11" s="51" t="n">
        <x:v>34</x:v>
      </x:c>
      <x:c r="B11" s="51" t="str">
        <x:v>Charlotte Hornets</x:v>
      </x:c>
      <x:c r="C11" s="51" t="str">
        <x:v>Devonte' Graham</x:v>
      </x:c>
      <x:c r="D11" s="51" t="str">
        <x:v>Rights from ATL for 2019 + 2023 seconds</x:v>
      </x:c>
      <x:c r="E11" s="51" t="str">
        <x:v>Charlotte Hornets</x:v>
      </x:c>
      <x:c r="F11" s="51" t="str">
        <x:v>Devonte' Graham</x:v>
      </x:c>
      <x:c r="G11" s="52" t="str">
        <x:v>UNCHANGED</x:v>
      </x:c>
      <x:c r="H11" s="51" t="str">
        <x:v>None</x:v>
      </x:c>
      <x:c r="I11" s="51" t="str">
        <x:v>Charlotte paid two future seconds for a directed guard choice.</x:v>
      </x:c>
      <x:c r="J11" s="51" t="str">
        <x:v>ATL asset trade preserved</x:v>
      </x:c>
      <x:c r="K11" s="51" t="str">
        <x:v>S13</x:v>
      </x:c>
    </x:row>
    <x:row r="12">
      <x:c r="A12" s="51" t="n">
        <x:v>35</x:v>
      </x:c>
      <x:c r="B12" s="51" t="str">
        <x:v>Orlando Magic</x:v>
      </x:c>
      <x:c r="C12" s="51" t="str">
        <x:v>Melvin Frazier</x:v>
      </x:c>
      <x:c r="D12" s="51" t="str">
        <x:v>Own pick</x:v>
      </x:c>
      <x:c r="E12" s="51" t="str">
        <x:v>Orlando Magic</x:v>
      </x:c>
      <x:c r="F12" s="51" t="str">
        <x:v>Melvin Frazier</x:v>
      </x:c>
      <x:c r="G12" s="52" t="str">
        <x:v>UNCHANGED</x:v>
      </x:c>
      <x:c r="H12" s="51" t="str">
        <x:v>None</x:v>
      </x:c>
      <x:c r="I12" s="51" t="str">
        <x:v>Wing-development lane remains distinct.</x:v>
      </x:c>
      <x:c r="J12" s="51" t="str">
        <x:v>Actual path preserved</x:v>
      </x:c>
      <x:c r="K12" s="51" t="str">
        <x:v>S13</x:v>
      </x:c>
    </x:row>
    <x:row r="13">
      <x:c r="A13" s="51" t="n">
        <x:v>36</x:v>
      </x:c>
      <x:c r="B13" s="51" t="str">
        <x:v>New York Knicks</x:v>
      </x:c>
      <x:c r="C13" s="51" t="str">
        <x:v>Mitchell Robinson</x:v>
      </x:c>
      <x:c r="D13" s="51" t="str">
        <x:v>Own pick</x:v>
      </x:c>
      <x:c r="E13" s="51" t="str">
        <x:v>New York Knicks</x:v>
      </x:c>
      <x:c r="F13" s="51" t="str">
        <x:v>Mitchell Robinson</x:v>
      </x:c>
      <x:c r="G13" s="52" t="str">
        <x:v>UNCHANGED</x:v>
      </x:c>
      <x:c r="H13" s="51" t="str">
        <x:v>None</x:v>
      </x:c>
      <x:c r="I13" s="51" t="str">
        <x:v>Robinson's upside remains the board priority.</x:v>
      </x:c>
      <x:c r="J13" s="51" t="str">
        <x:v>Actual path preserved</x:v>
      </x:c>
      <x:c r="K13" s="51" t="str">
        <x:v>S13</x:v>
      </x:c>
    </x:row>
    <x:row r="14">
      <x:c r="A14" s="51" t="n">
        <x:v>37</x:v>
      </x:c>
      <x:c r="B14" s="51" t="str">
        <x:v>Portland Trail Blazers</x:v>
      </x:c>
      <x:c r="C14" s="51" t="str">
        <x:v>Gary Trent Jr.</x:v>
      </x:c>
      <x:c r="D14" s="51" t="str">
        <x:v>Rights from SAC</x:v>
      </x:c>
      <x:c r="E14" s="51" t="str">
        <x:v>Portland Trail Blazers</x:v>
      </x:c>
      <x:c r="F14" s="51" t="str">
        <x:v>Gary Trent Jr.</x:v>
      </x:c>
      <x:c r="G14" s="52" t="str">
        <x:v>UNCHANGED</x:v>
      </x:c>
      <x:c r="H14" s="51" t="str">
        <x:v>None</x:v>
      </x:c>
      <x:c r="I14" s="51" t="str">
        <x:v>Perimeter shooting/development need remains.</x:v>
      </x:c>
      <x:c r="J14" s="51" t="str">
        <x:v>Actual path preserved</x:v>
      </x:c>
      <x:c r="K14" s="51" t="str">
        <x:v>S13</x:v>
      </x:c>
    </x:row>
    <x:row r="15">
      <x:c r="A15" s="51" t="n">
        <x:v>38</x:v>
      </x:c>
      <x:c r="B15" s="51" t="str">
        <x:v>Detroit Pistons</x:v>
      </x:c>
      <x:c r="C15" s="51" t="str">
        <x:v>Khyri Thomas</x:v>
      </x:c>
      <x:c r="D15" s="51" t="str">
        <x:v>Rights from PHI</x:v>
      </x:c>
      <x:c r="E15" s="51" t="str">
        <x:v>Detroit Pistons</x:v>
      </x:c>
      <x:c r="F15" s="51" t="str">
        <x:v>Khyri Thomas</x:v>
      </x:c>
      <x:c r="G15" s="52" t="str">
        <x:v>UNCHANGED</x:v>
      </x:c>
      <x:c r="H15" s="51" t="str">
        <x:v>None</x:v>
      </x:c>
      <x:c r="I15" s="51" t="str">
        <x:v>Perimeter defense need remains distinct.</x:v>
      </x:c>
      <x:c r="J15" s="51" t="str">
        <x:v>Actual path preserved</x:v>
      </x:c>
      <x:c r="K15" s="51" t="str">
        <x:v>S13</x:v>
      </x:c>
    </x:row>
    <x:row r="16">
      <x:c r="A16" s="51" t="n">
        <x:v>39</x:v>
      </x:c>
      <x:c r="B16" s="51" t="str">
        <x:v>Los Angeles Lakers</x:v>
      </x:c>
      <x:c r="C16" s="51" t="str">
        <x:v>Isaac Bonga</x:v>
      </x:c>
      <x:c r="D16" s="51" t="str">
        <x:v>Rights from PHI</x:v>
      </x:c>
      <x:c r="E16" s="51" t="str">
        <x:v>Los Angeles Lakers</x:v>
      </x:c>
      <x:c r="F16" s="51" t="str">
        <x:v>Isaac Bonga</x:v>
      </x:c>
      <x:c r="G16" s="52" t="str">
        <x:v>UNCHANGED</x:v>
      </x:c>
      <x:c r="H16" s="51" t="str">
        <x:v>None</x:v>
      </x:c>
      <x:c r="I16" s="51" t="str">
        <x:v>Lakers already used #25 on stretch big Moritz Wagner.</x:v>
      </x:c>
      <x:c r="J16" s="51" t="str">
        <x:v>Actual path preserved</x:v>
      </x:c>
      <x:c r="K16" s="51" t="str">
        <x:v>S13</x:v>
      </x:c>
    </x:row>
    <x:row r="17">
      <x:c r="A17" s="51" t="n">
        <x:v>40</x:v>
      </x:c>
      <x:c r="B17" s="51" t="str">
        <x:v>Brooklyn Nets</x:v>
      </x:c>
      <x:c r="C17" s="51" t="str">
        <x:v>Rodions Kurucs</x:v>
      </x:c>
      <x:c r="D17" s="51" t="str">
        <x:v>Own pick</x:v>
      </x:c>
      <x:c r="E17" s="51" t="str">
        <x:v>Brooklyn Nets</x:v>
      </x:c>
      <x:c r="F17" s="51" t="str">
        <x:v>Rodions Kurucs</x:v>
      </x:c>
      <x:c r="G17" s="52" t="str">
        <x:v>UNCHANGED</x:v>
      </x:c>
      <x:c r="H17" s="51" t="str">
        <x:v>None</x:v>
      </x:c>
      <x:c r="I17" s="51" t="str">
        <x:v>Long-running Kurucs scouting interest remains decisive.</x:v>
      </x:c>
      <x:c r="J17" s="51" t="str">
        <x:v>Actual path preserved</x:v>
      </x:c>
      <x:c r="K17" s="51" t="str">
        <x:v>S17</x:v>
      </x:c>
    </x:row>
    <x:row r="18">
      <x:c r="A18" s="51" t="n">
        <x:v>41</x:v>
      </x:c>
      <x:c r="B18" s="51" t="str">
        <x:v>Denver Nuggets</x:v>
      </x:c>
      <x:c r="C18" s="51" t="str">
        <x:v>Jarred Vanderbilt</x:v>
      </x:c>
      <x:c r="D18" s="51" t="str">
        <x:v>Rights from ORL</x:v>
      </x:c>
      <x:c r="E18" s="51" t="str">
        <x:v>Denver Nuggets</x:v>
      </x:c>
      <x:c r="F18" s="51" t="str">
        <x:v>Jarred Vanderbilt</x:v>
      </x:c>
      <x:c r="G18" s="52" t="str">
        <x:v>UNCHANGED</x:v>
      </x:c>
      <x:c r="H18" s="51" t="str">
        <x:v>None</x:v>
      </x:c>
      <x:c r="I18" s="51" t="str">
        <x:v>Vanderbilt upside remains the preferred development bet.</x:v>
      </x:c>
      <x:c r="J18" s="51" t="str">
        <x:v>Actual path preserved</x:v>
      </x:c>
      <x:c r="K18" s="51" t="str">
        <x:v>S13</x:v>
      </x:c>
    </x:row>
    <x:row r="19">
      <x:c r="A19" s="51" t="n">
        <x:v>42</x:v>
      </x:c>
      <x:c r="B19" s="51" t="str">
        <x:v>Detroit Pistons</x:v>
      </x:c>
      <x:c r="C19" s="51" t="str">
        <x:v>Bruce Brown</x:v>
      </x:c>
      <x:c r="D19" s="51" t="str">
        <x:v>Own pick</x:v>
      </x:c>
      <x:c r="E19" s="51" t="str">
        <x:v>Detroit Pistons</x:v>
      </x:c>
      <x:c r="F19" s="51" t="str">
        <x:v>Bruce Brown</x:v>
      </x:c>
      <x:c r="G19" s="52" t="str">
        <x:v>UNCHANGED</x:v>
      </x:c>
      <x:c r="H19" s="51" t="str">
        <x:v>None</x:v>
      </x:c>
      <x:c r="I19" s="51" t="str">
        <x:v>Guard/wing role remains distinct.</x:v>
      </x:c>
      <x:c r="J19" s="51" t="str">
        <x:v>Actual path preserved</x:v>
      </x:c>
      <x:c r="K19" s="51" t="str">
        <x:v>S13</x:v>
      </x:c>
    </x:row>
    <x:row r="20">
      <x:c r="A20" s="51" t="n">
        <x:v>43</x:v>
      </x:c>
      <x:c r="B20" s="51" t="str">
        <x:v>Orlando Magic</x:v>
      </x:c>
      <x:c r="C20" s="51" t="str">
        <x:v>Justin Jackson</x:v>
      </x:c>
      <x:c r="D20" s="51" t="str">
        <x:v>Rights from DEN</x:v>
      </x:c>
      <x:c r="E20" s="51" t="str">
        <x:v>Orlando Magic</x:v>
      </x:c>
      <x:c r="F20" s="51" t="str">
        <x:v>Justin Jackson</x:v>
      </x:c>
      <x:c r="G20" s="52" t="str">
        <x:v>UNCHANGED</x:v>
      </x:c>
      <x:c r="H20" s="51" t="str">
        <x:v>None</x:v>
      </x:c>
      <x:c r="I20" s="51" t="str">
        <x:v>Wing-development lane remains distinct.</x:v>
      </x:c>
      <x:c r="J20" s="51" t="str">
        <x:v>Actual path preserved</x:v>
      </x:c>
      <x:c r="K20" s="51" t="str">
        <x:v>S13</x:v>
      </x:c>
    </x:row>
    <x:row r="21">
      <x:c r="A21" s="51" t="n">
        <x:v>44</x:v>
      </x:c>
      <x:c r="B21" s="51" t="str">
        <x:v>Washington Wizards</x:v>
      </x:c>
      <x:c r="C21" s="51" t="str">
        <x:v>Issuf Sanon</x:v>
      </x:c>
      <x:c r="D21" s="51" t="str">
        <x:v>Own pick; overseas stash</x:v>
      </x:c>
      <x:c r="E21" s="51" t="str">
        <x:v>Washington Wizards</x:v>
      </x:c>
      <x:c r="F21" s="51" t="str">
        <x:v>Issuf Sanon</x:v>
      </x:c>
      <x:c r="G21" s="52" t="str">
        <x:v>UNCHANGED</x:v>
      </x:c>
      <x:c r="H21" s="51" t="str">
        <x:v>None</x:v>
      </x:c>
      <x:c r="I21" s="51" t="str">
        <x:v>Roster/cap plan explicitly favored an overseas stash.</x:v>
      </x:c>
      <x:c r="J21" s="51" t="str">
        <x:v>Actual path preserved</x:v>
      </x:c>
      <x:c r="K21" s="51" t="str">
        <x:v>S16</x:v>
      </x:c>
    </x:row>
    <x:row r="22">
      <x:c r="A22" s="51" t="n">
        <x:v>45</x:v>
      </x:c>
      <x:c r="B22" s="51" t="str">
        <x:v>Oklahoma City Thunder</x:v>
      </x:c>
      <x:c r="C22" s="51" t="str">
        <x:v>Hamidou Diallo</x:v>
      </x:c>
      <x:c r="D22" s="51" t="str">
        <x:v>Rights via BKN/CHA</x:v>
      </x:c>
      <x:c r="E22" s="51" t="str">
        <x:v>Oklahoma City Thunder</x:v>
      </x:c>
      <x:c r="F22" s="51" t="str">
        <x:v>Hamidou Diallo</x:v>
      </x:c>
      <x:c r="G22" s="52" t="str">
        <x:v>UNCHANGED</x:v>
      </x:c>
      <x:c r="H22" s="51" t="str">
        <x:v>None</x:v>
      </x:c>
      <x:c r="I22" s="51" t="str">
        <x:v>Athletic guard target remains distinct.</x:v>
      </x:c>
      <x:c r="J22" s="51" t="str">
        <x:v>Actual path preserved</x:v>
      </x:c>
      <x:c r="K22" s="51" t="str">
        <x:v>S13</x:v>
      </x:c>
    </x:row>
    <x:row r="23">
      <x:c r="A23" s="51" t="n">
        <x:v>46</x:v>
      </x:c>
      <x:c r="B23" s="51" t="str">
        <x:v>Houston Rockets</x:v>
      </x:c>
      <x:c r="C23" s="51" t="str">
        <x:v>De'Anthony Melton</x:v>
      </x:c>
      <x:c r="D23" s="51" t="str">
        <x:v>Own pick</x:v>
      </x:c>
      <x:c r="E23" s="51" t="str">
        <x:v>Houston Rockets</x:v>
      </x:c>
      <x:c r="F23" s="51" t="str">
        <x:v>De'Anthony Melton</x:v>
      </x:c>
      <x:c r="G23" s="52" t="str">
        <x:v>UNCHANGED</x:v>
      </x:c>
      <x:c r="H23" s="51" t="str">
        <x:v>None</x:v>
      </x:c>
      <x:c r="I23" s="51" t="str">
        <x:v>Guard asset profile remains distinct.</x:v>
      </x:c>
      <x:c r="J23" s="51" t="str">
        <x:v>Actual path preserved</x:v>
      </x:c>
      <x:c r="K23" s="51" t="str">
        <x:v>S13</x:v>
      </x:c>
    </x:row>
    <x:row r="24">
      <x:c r="A24" s="51" t="n">
        <x:v>47</x:v>
      </x:c>
      <x:c r="B24" s="51" t="str">
        <x:v>Los Angeles Lakers</x:v>
      </x:c>
      <x:c r="C24" s="51" t="str">
        <x:v>Svi Mykhailiuk</x:v>
      </x:c>
      <x:c r="D24" s="51" t="str">
        <x:v>Own pick</x:v>
      </x:c>
      <x:c r="E24" s="51" t="str">
        <x:v>Los Angeles Lakers</x:v>
      </x:c>
      <x:c r="F24" s="51" t="str">
        <x:v>Svi Mykhailiuk</x:v>
      </x:c>
      <x:c r="G24" s="52" t="str">
        <x:v>UNCHANGED</x:v>
      </x:c>
      <x:c r="H24" s="51" t="str">
        <x:v>None</x:v>
      </x:c>
      <x:c r="I24" s="51" t="str">
        <x:v>Shooting role remains distinct.</x:v>
      </x:c>
      <x:c r="J24" s="51" t="str">
        <x:v>Actual path preserved</x:v>
      </x:c>
      <x:c r="K24" s="51" t="str">
        <x:v>S13</x:v>
      </x:c>
    </x:row>
    <x:row r="25">
      <x:c r="A25" s="51" t="n">
        <x:v>48</x:v>
      </x:c>
      <x:c r="B25" s="51" t="str">
        <x:v>Minnesota Timberwolves</x:v>
      </x:c>
      <x:c r="C25" s="51" t="str">
        <x:v>Keita Bates-Diop</x:v>
      </x:c>
      <x:c r="D25" s="51" t="str">
        <x:v>Own pick</x:v>
      </x:c>
      <x:c r="E25" s="51" t="str">
        <x:v>Minnesota Timberwolves</x:v>
      </x:c>
      <x:c r="F25" s="51" t="str">
        <x:v>Keita Bates-Diop</x:v>
      </x:c>
      <x:c r="G25" s="52" t="str">
        <x:v>UNCHANGED</x:v>
      </x:c>
      <x:c r="H25" s="51" t="str">
        <x:v>None</x:v>
      </x:c>
      <x:c r="I25" s="51" t="str">
        <x:v>Wing-forward choice does not require a cascade.</x:v>
      </x:c>
      <x:c r="J25" s="51" t="str">
        <x:v>Actual path preserved</x:v>
      </x:c>
      <x:c r="K25" s="51" t="str">
        <x:v>S13</x:v>
      </x:c>
    </x:row>
    <x:row r="26">
      <x:c r="A26" s="53" t="n">
        <x:v>49</x:v>
      </x:c>
      <x:c r="B26" s="53" t="str">
        <x:v>San Antonio Spurs</x:v>
      </x:c>
      <x:c r="C26" s="53" t="str">
        <x:v>Chimezie Metu</x:v>
      </x:c>
      <x:c r="D26" s="53" t="str">
        <x:v>Own pick</x:v>
      </x:c>
      <x:c r="E26" s="53" t="str">
        <x:v>San Antonio Spurs</x:v>
      </x:c>
      <x:c r="F26" s="53" t="str">
        <x:v>Omari Spellman</x:v>
      </x:c>
      <x:c r="G26" s="53" t="str">
        <x:v>CHANGED</x:v>
      </x:c>
      <x:c r="H26" s="53" t="str">
        <x:v>Spellman</x:v>
      </x:c>
      <x:c r="I26" s="53" t="str">
        <x:v>Spellman worked out for San Antonio and fit its spacing/IQ profile.</x:v>
      </x:c>
      <x:c r="J26" s="53" t="str">
        <x:v>Spurs baseline role PASS; outcomes HOLD</x:v>
      </x:c>
      <x:c r="K26" s="53" t="str">
        <x:v>S14/S15/S22</x:v>
      </x:c>
    </x:row>
    <x:row r="27">
      <x:c r="A27" s="51" t="n">
        <x:v>50</x:v>
      </x:c>
      <x:c r="B27" s="51" t="str">
        <x:v>Indiana Pacers</x:v>
      </x:c>
      <x:c r="C27" s="51" t="str">
        <x:v>Alize Johnson</x:v>
      </x:c>
      <x:c r="D27" s="51" t="str">
        <x:v>Own pick</x:v>
      </x:c>
      <x:c r="E27" s="51" t="str">
        <x:v>Indiana Pacers</x:v>
      </x:c>
      <x:c r="F27" s="51" t="str">
        <x:v>Alize Johnson</x:v>
      </x:c>
      <x:c r="G27" s="52" t="str">
        <x:v>UNCHANGED</x:v>
      </x:c>
      <x:c r="H27" s="51" t="str">
        <x:v>None</x:v>
      </x:c>
      <x:c r="I27" s="51" t="str">
        <x:v>Actual forward choice remains available.</x:v>
      </x:c>
      <x:c r="J27" s="51" t="str">
        <x:v>Actual path preserved</x:v>
      </x:c>
      <x:c r="K27" s="51" t="str">
        <x:v>S13</x:v>
      </x:c>
    </x:row>
    <x:row r="28">
      <x:c r="A28" s="51" t="n">
        <x:v>51</x:v>
      </x:c>
      <x:c r="B28" s="51" t="str">
        <x:v>New Orleans Pelicans</x:v>
      </x:c>
      <x:c r="C28" s="51" t="str">
        <x:v>Tony Carr</x:v>
      </x:c>
      <x:c r="D28" s="51" t="str">
        <x:v>Own pick</x:v>
      </x:c>
      <x:c r="E28" s="51" t="str">
        <x:v>New Orleans Pelicans</x:v>
      </x:c>
      <x:c r="F28" s="51" t="str">
        <x:v>Tony Carr</x:v>
      </x:c>
      <x:c r="G28" s="52" t="str">
        <x:v>UNCHANGED</x:v>
      </x:c>
      <x:c r="H28" s="51" t="str">
        <x:v>None</x:v>
      </x:c>
      <x:c r="I28" s="51" t="str">
        <x:v>Guard-development choice remains distinct.</x:v>
      </x:c>
      <x:c r="J28" s="51" t="str">
        <x:v>Actual path preserved</x:v>
      </x:c>
      <x:c r="K28" s="51" t="str">
        <x:v>S13</x:v>
      </x:c>
    </x:row>
    <x:row r="29">
      <x:c r="A29" s="51" t="n">
        <x:v>52</x:v>
      </x:c>
      <x:c r="B29" s="51" t="str">
        <x:v>Houston Rockets</x:v>
      </x:c>
      <x:c r="C29" s="51" t="str">
        <x:v>Vincent Edwards</x:v>
      </x:c>
      <x:c r="D29" s="51" t="str">
        <x:v>Rights from UTA</x:v>
      </x:c>
      <x:c r="E29" s="51" t="str">
        <x:v>Houston Rockets</x:v>
      </x:c>
      <x:c r="F29" s="51" t="str">
        <x:v>Vincent Edwards</x:v>
      </x:c>
      <x:c r="G29" s="52" t="str">
        <x:v>UNCHANGED</x:v>
      </x:c>
      <x:c r="H29" s="51" t="str">
        <x:v>None</x:v>
      </x:c>
      <x:c r="I29" s="51" t="str">
        <x:v>Wing-development choice remains distinct.</x:v>
      </x:c>
      <x:c r="J29" s="51" t="str">
        <x:v>Actual path preserved</x:v>
      </x:c>
      <x:c r="K29" s="51" t="str">
        <x:v>S13</x:v>
      </x:c>
    </x:row>
    <x:row r="30">
      <x:c r="A30" s="51" t="n">
        <x:v>53</x:v>
      </x:c>
      <x:c r="B30" s="51" t="str">
        <x:v>Oklahoma City Thunder</x:v>
      </x:c>
      <x:c r="C30" s="51" t="str">
        <x:v>Devon Hall</x:v>
      </x:c>
      <x:c r="D30" s="51" t="str">
        <x:v>Own pick</x:v>
      </x:c>
      <x:c r="E30" s="51" t="str">
        <x:v>Oklahoma City Thunder</x:v>
      </x:c>
      <x:c r="F30" s="51" t="str">
        <x:v>Devon Hall</x:v>
      </x:c>
      <x:c r="G30" s="52" t="str">
        <x:v>UNCHANGED</x:v>
      </x:c>
      <x:c r="H30" s="51" t="str">
        <x:v>None</x:v>
      </x:c>
      <x:c r="I30" s="51" t="str">
        <x:v>Perimeter/stash route remains distinct.</x:v>
      </x:c>
      <x:c r="J30" s="51" t="str">
        <x:v>Actual path preserved</x:v>
      </x:c>
      <x:c r="K30" s="51" t="str">
        <x:v>S13</x:v>
      </x:c>
    </x:row>
    <x:row r="31">
      <x:c r="A31" s="51" t="n">
        <x:v>54</x:v>
      </x:c>
      <x:c r="B31" s="51" t="str">
        <x:v>Philadelphia 76ers</x:v>
      </x:c>
      <x:c r="C31" s="51" t="str">
        <x:v>Shake Milton</x:v>
      </x:c>
      <x:c r="D31" s="51" t="str">
        <x:v>Rights from DAL</x:v>
      </x:c>
      <x:c r="E31" s="51" t="str">
        <x:v>Philadelphia 76ers</x:v>
      </x:c>
      <x:c r="F31" s="51" t="str">
        <x:v>Shake Milton</x:v>
      </x:c>
      <x:c r="G31" s="52" t="str">
        <x:v>UNCHANGED</x:v>
      </x:c>
      <x:c r="H31" s="51" t="str">
        <x:v>None</x:v>
      </x:c>
      <x:c r="I31" s="51" t="str">
        <x:v>Guard target and trade structure remain intact.</x:v>
      </x:c>
      <x:c r="J31" s="51" t="str">
        <x:v>Actual path preserved</x:v>
      </x:c>
      <x:c r="K31" s="51" t="str">
        <x:v>S13</x:v>
      </x:c>
    </x:row>
    <x:row r="32">
      <x:c r="A32" s="51" t="n">
        <x:v>55</x:v>
      </x:c>
      <x:c r="B32" s="51" t="str">
        <x:v>Charlotte Hornets</x:v>
      </x:c>
      <x:c r="C32" s="51" t="str">
        <x:v>Arnoldas Kulboka</x:v>
      </x:c>
      <x:c r="D32" s="51" t="str">
        <x:v>Own pick; overseas stash</x:v>
      </x:c>
      <x:c r="E32" s="51" t="str">
        <x:v>Charlotte Hornets</x:v>
      </x:c>
      <x:c r="F32" s="51" t="str">
        <x:v>Arnoldas Kulboka</x:v>
      </x:c>
      <x:c r="G32" s="52" t="str">
        <x:v>UNCHANGED</x:v>
      </x:c>
      <x:c r="H32" s="51" t="str">
        <x:v>None</x:v>
      </x:c>
      <x:c r="I32" s="51" t="str">
        <x:v>Overseas-stash route remains distinct.</x:v>
      </x:c>
      <x:c r="J32" s="51" t="str">
        <x:v>Actual path preserved</x:v>
      </x:c>
      <x:c r="K32" s="51" t="str">
        <x:v>S13</x:v>
      </x:c>
    </x:row>
    <x:row r="33">
      <x:c r="A33" s="53" t="n">
        <x:v>56</x:v>
      </x:c>
      <x:c r="B33" s="53" t="str">
        <x:v>Dallas Mavericks</x:v>
      </x:c>
      <x:c r="C33" s="53" t="str">
        <x:v>Ray Spalding</x:v>
      </x:c>
      <x:c r="D33" s="53" t="str">
        <x:v>Rights from PHI</x:v>
      </x:c>
      <x:c r="E33" s="53" t="str">
        <x:v>Dallas Mavericks</x:v>
      </x:c>
      <x:c r="F33" s="53" t="str">
        <x:v>Chimezie Metu</x:v>
      </x:c>
      <x:c r="G33" s="53" t="str">
        <x:v>CASCADE</x:v>
      </x:c>
      <x:c r="H33" s="53" t="str">
        <x:v>Metu</x:v>
      </x:c>
      <x:c r="I33" s="53" t="str">
        <x:v>Metu is the displaced #49 athletic big and remains above this slot.</x:v>
      </x:c>
      <x:c r="J33" s="53" t="str">
        <x:v>Dallas role/minutes HOLD</x:v>
      </x:c>
      <x:c r="K33" s="53" t="str">
        <x:v>S13/S15</x:v>
      </x:c>
    </x:row>
    <x:row r="34">
      <x:c r="A34" s="51" t="n">
        <x:v>57</x:v>
      </x:c>
      <x:c r="B34" s="51" t="str">
        <x:v>Oklahoma City Thunder</x:v>
      </x:c>
      <x:c r="C34" s="51" t="str">
        <x:v>Kevin Hervey</x:v>
      </x:c>
      <x:c r="D34" s="51" t="str">
        <x:v>Own pick</x:v>
      </x:c>
      <x:c r="E34" s="51" t="str">
        <x:v>Oklahoma City Thunder</x:v>
      </x:c>
      <x:c r="F34" s="51" t="str">
        <x:v>Kevin Hervey</x:v>
      </x:c>
      <x:c r="G34" s="52" t="str">
        <x:v>UNCHANGED</x:v>
      </x:c>
      <x:c r="H34" s="51" t="str">
        <x:v>None</x:v>
      </x:c>
      <x:c r="I34" s="51" t="str">
        <x:v>Actual forward choice remains available.</x:v>
      </x:c>
      <x:c r="J34" s="51" t="str">
        <x:v>Actual path preserved</x:v>
      </x:c>
      <x:c r="K34" s="51" t="str">
        <x:v>S13</x:v>
      </x:c>
    </x:row>
    <x:row r="35">
      <x:c r="A35" s="53" t="n">
        <x:v>58</x:v>
      </x:c>
      <x:c r="B35" s="53" t="str">
        <x:v>Denver Nuggets</x:v>
      </x:c>
      <x:c r="C35" s="53" t="str">
        <x:v>Thomas Welsh</x:v>
      </x:c>
      <x:c r="D35" s="53" t="str">
        <x:v>Own pick</x:v>
      </x:c>
      <x:c r="E35" s="53" t="str">
        <x:v>Denver Nuggets</x:v>
      </x:c>
      <x:c r="F35" s="53" t="str">
        <x:v>Ray Spalding</x:v>
      </x:c>
      <x:c r="G35" s="53" t="str">
        <x:v>CASCADE</x:v>
      </x:c>
      <x:c r="H35" s="53" t="str">
        <x:v>Spalding</x:v>
      </x:c>
      <x:c r="I35" s="53" t="str">
        <x:v>Spalding was graded in the drafted second-round big tier.</x:v>
      </x:c>
      <x:c r="J35" s="53" t="str">
        <x:v>Denver role/two-way HOLD</x:v>
      </x:c>
      <x:c r="K35" s="53" t="str">
        <x:v>S18</x:v>
      </x:c>
    </x:row>
    <x:row r="36">
      <x:c r="A36" s="51" t="n">
        <x:v>59</x:v>
      </x:c>
      <x:c r="B36" s="51" t="str">
        <x:v>Phoenix Suns</x:v>
      </x:c>
      <x:c r="C36" s="51" t="str">
        <x:v>George King</x:v>
      </x:c>
      <x:c r="D36" s="51" t="str">
        <x:v>Own pick</x:v>
      </x:c>
      <x:c r="E36" s="51" t="str">
        <x:v>Phoenix Suns</x:v>
      </x:c>
      <x:c r="F36" s="51" t="str">
        <x:v>George King</x:v>
      </x:c>
      <x:c r="G36" s="52" t="str">
        <x:v>UNCHANGED</x:v>
      </x:c>
      <x:c r="H36" s="51" t="str">
        <x:v>None</x:v>
      </x:c>
      <x:c r="I36" s="51" t="str">
        <x:v>Actual wing choice remains available.</x:v>
      </x:c>
      <x:c r="J36" s="51" t="str">
        <x:v>Actual path preserved</x:v>
      </x:c>
      <x:c r="K36" s="51" t="str">
        <x:v>S13</x:v>
      </x:c>
    </x:row>
    <x:row r="37">
      <x:c r="A37" s="51" t="n">
        <x:v>60</x:v>
      </x:c>
      <x:c r="B37" s="51" t="str">
        <x:v>Dallas Mavericks</x:v>
      </x:c>
      <x:c r="C37" s="51" t="str">
        <x:v>Kostas Antetokounmpo</x:v>
      </x:c>
      <x:c r="D37" s="51" t="str">
        <x:v>Rights from PHI</x:v>
      </x:c>
      <x:c r="E37" s="51" t="str">
        <x:v>Dallas Mavericks</x:v>
      </x:c>
      <x:c r="F37" s="51" t="str">
        <x:v>Kostas Antetokounmpo</x:v>
      </x:c>
      <x:c r="G37" s="52" t="str">
        <x:v>UNCHANGED</x:v>
      </x:c>
      <x:c r="H37" s="51" t="str">
        <x:v>None</x:v>
      </x:c>
      <x:c r="I37" s="51" t="str">
        <x:v>Second acquired pick and upside bet remain intact.</x:v>
      </x:c>
      <x:c r="J37" s="51" t="str">
        <x:v>Actual path preserved</x:v>
      </x:c>
      <x:c r="K37" s="51" t="str">
        <x:v>S13</x:v>
      </x:c>
    </x:row>
  </x:sheetData>
  <x:mergeCells>
    <x:mergeCell ref="A1:K2"/>
  </x:mergeCells>
  <x:pageMargins left="0.7" right="0.7" top="0.75" bottom="0.75" header="0.3" footer="0.3"/>
  <x:tableParts count="1">
    <x:tablePart xmlns:r="http://schemas.openxmlformats.org/officeDocument/2006/relationships" r:id="Rb23b2dbd43ef428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27" hidden="0" customWidth="1"/>
    <x:col min="8" max="8" width="27" hidden="0" customWidth="1"/>
    <x:col min="9" max="9" width="16" hidden="0" customWidth="1"/>
    <x:col min="10" max="10" width="24" hidden="0" customWidth="1"/>
    <x:col min="11" max="11" width="22" hidden="0" customWidth="1"/>
    <x:col min="12" max="12" width="22" hidden="0" customWidth="1"/>
  </x:cols>
  <x:sheetData>
    <x:row r="1" ht="32" customHeight="1">
      <x:c r="A1" s="3" t="str">
        <x:v>SAN ANTONIO 2018-19 — SECOND-TEAM IMPACT FIREWALL</x:v>
      </x:c>
    </x:row>
    <x:row r="4">
      <x:c r="A4" s="56" t="str">
        <x:v>Actual Spurs</x:v>
      </x:c>
      <x:c r="B4" s="56" t="str">
        <x:v>48-34</x:v>
      </x:c>
      <x:c r="C4" s="56" t="str">
        <x:v>Metu NBA</x:v>
      </x:c>
      <x:c r="D4" s="56" t="str">
        <x:v>29 G / 145.4 MIN</x:v>
      </x:c>
      <x:c r="E4" s="56" t="str">
        <x:v>Metu Austin</x:v>
      </x:c>
      <x:c r="F4" s="56" t="str">
        <x:v>26 G / 710.4 MIN</x:v>
      </x:c>
      <x:c r="G4" s="56" t="str">
        <x:v>CF base</x:v>
      </x:c>
      <x:c r="H4" s="56" t="str">
        <x:v>29 G / 145.4 MIN</x:v>
      </x:c>
      <x:c r="I4" s="56" t="str">
        <x:v>ATL series</x:v>
      </x:c>
      <x:c r="J4" s="56" t="str">
        <x:v>2 G / 0 MIN</x:v>
      </x:c>
      <x:c r="K4" s="56" t="str">
        <x:v>Status</x:v>
      </x:c>
      <x:c r="L4" s="56" t="str">
        <x:v>BASELINE_ROLE_PASS</x:v>
      </x:c>
    </x:row>
    <x:row r="5">
      <x:c r="A5" s="57"/>
      <x:c r="B5" s="57"/>
      <x:c r="C5" s="57"/>
      <x:c r="D5" s="57"/>
      <x:c r="E5" s="57"/>
      <x:c r="F5" s="57"/>
      <x:c r="G5" s="57"/>
      <x:c r="H5" s="57"/>
      <x:c r="I5" s="57"/>
      <x:c r="J5" s="57"/>
      <x:c r="K5" s="57"/>
      <x:c r="L5" s="57"/>
    </x:row>
    <x:row r="6">
      <x:c r="A6" s="40" t="str">
        <x:v>Scenario</x:v>
      </x:c>
      <x:c r="B6" s="40" t="str">
        <x:v>NBA GP</x:v>
      </x:c>
      <x:c r="C6" s="40" t="str">
        <x:v>NBA MPG</x:v>
      </x:c>
      <x:c r="D6" s="40" t="str">
        <x:v>NBA MIN</x:v>
      </x:c>
      <x:c r="E6" s="40" t="str">
        <x:v>Starts</x:v>
      </x:c>
      <x:c r="F6" s="40" t="str">
        <x:v>Austin GP</x:v>
      </x:c>
      <x:c r="G6" s="40" t="str">
        <x:v>Result rule</x:v>
      </x:c>
      <x:c r="H6" s="40" t="str">
        <x:v>Required evidence</x:v>
      </x:c>
      <x:c r="I6" s="57"/>
      <x:c r="J6" s="57"/>
      <x:c r="K6" s="57"/>
      <x:c r="L6" s="57"/>
    </x:row>
    <x:row r="7">
      <x:c r="A7" s="58" t="str">
        <x:v>LOW</x:v>
      </x:c>
      <x:c r="B7" s="58" t="n">
        <x:v>24</x:v>
      </x:c>
      <x:c r="C7" s="58" t="n">
        <x:v>4</x:v>
      </x:c>
      <x:c r="D7" s="58" t="n">
        <x:v>120</x:v>
      </x:c>
      <x:c r="E7" s="58" t="n">
        <x:v>0</x:v>
      </x:c>
      <x:c r="F7" s="58" t="n">
        <x:v>28</x:v>
      </x:c>
      <x:c r="G7" s="58" t="str">
        <x:v>No automatic game changes</x:v>
      </x:c>
      <x:c r="H7" s="58" t="str">
        <x:v>Stay inside Metu/deep-reserve slot</x:v>
      </x:c>
      <x:c r="I7" s="57"/>
      <x:c r="J7" s="57"/>
      <x:c r="K7" s="57"/>
      <x:c r="L7" s="57"/>
    </x:row>
    <x:row r="8">
      <x:c r="A8" s="58" t="str">
        <x:v>BASE</x:v>
      </x:c>
      <x:c r="B8" s="58" t="n">
        <x:v>29</x:v>
      </x:c>
      <x:c r="C8" s="58" t="n">
        <x:v>5</x:v>
      </x:c>
      <x:c r="D8" s="58" t="n">
        <x:v>145.4</x:v>
      </x:c>
      <x:c r="E8" s="58" t="n">
        <x:v>0</x:v>
      </x:c>
      <x:c r="F8" s="58" t="n">
        <x:v>26</x:v>
      </x:c>
      <x:c r="G8" s="58" t="str">
        <x:v>No automatic game changes</x:v>
      </x:c>
      <x:c r="H8" s="58" t="str">
        <x:v>Metu actual role baseline</x:v>
      </x:c>
      <x:c r="I8" s="57"/>
      <x:c r="J8" s="57"/>
      <x:c r="K8" s="57"/>
      <x:c r="L8" s="57"/>
    </x:row>
    <x:row r="9">
      <x:c r="A9" s="58" t="str">
        <x:v>HIGH</x:v>
      </x:c>
      <x:c r="B9" s="58" t="n">
        <x:v>31</x:v>
      </x:c>
      <x:c r="C9" s="58" t="n">
        <x:v>6</x:v>
      </x:c>
      <x:c r="D9" s="58" t="n">
        <x:v>180</x:v>
      </x:c>
      <x:c r="E9" s="58" t="n">
        <x:v>0</x:v>
      </x:c>
      <x:c r="F9" s="58" t="n">
        <x:v>20</x:v>
      </x:c>
      <x:c r="G9" s="58" t="str">
        <x:v>GAME_REVIEW if competitive</x:v>
      </x:c>
      <x:c r="H9" s="58" t="str">
        <x:v>Dated donor required above 145.4</x:v>
      </x:c>
      <x:c r="I9" s="57"/>
      <x:c r="J9" s="57"/>
      <x:c r="K9" s="57"/>
      <x:c r="L9" s="57"/>
    </x:row>
    <x:row r="10">
      <x:c r="A10" s="57"/>
      <x:c r="B10" s="57"/>
      <x:c r="C10" s="57"/>
      <x:c r="D10" s="57"/>
      <x:c r="E10" s="57"/>
      <x:c r="F10" s="57"/>
      <x:c r="G10" s="57"/>
      <x:c r="H10" s="57"/>
      <x:c r="I10" s="57"/>
      <x:c r="J10" s="57"/>
      <x:c r="K10" s="57"/>
      <x:c r="L10" s="57"/>
    </x:row>
    <x:row r="11">
      <x:c r="A11" s="40" t="str">
        <x:v>Date</x:v>
      </x:c>
      <x:c r="B11" s="40" t="str">
        <x:v>Site</x:v>
      </x:c>
      <x:c r="C11" s="40" t="str">
        <x:v>Opponent</x:v>
      </x:c>
      <x:c r="D11" s="40" t="str">
        <x:v>Actual</x:v>
      </x:c>
      <x:c r="E11" s="40" t="str">
        <x:v>SAS Pts</x:v>
      </x:c>
      <x:c r="F11" s="40" t="str">
        <x:v>ATL Pts</x:v>
      </x:c>
      <x:c r="G11" s="40" t="str">
        <x:v>Margin</x:v>
      </x:c>
      <x:c r="H11" s="40" t="str">
        <x:v>Metu roster</x:v>
      </x:c>
      <x:c r="I11" s="40" t="str">
        <x:v>Metu status</x:v>
      </x:c>
      <x:c r="J11" s="40" t="str">
        <x:v>Spurs-side CF contact</x:v>
      </x:c>
      <x:c r="K11" s="40" t="str">
        <x:v>Outcome status</x:v>
      </x:c>
      <x:c r="L11" s="40" t="str">
        <x:v>Source ID</x:v>
      </x:c>
    </x:row>
    <x:row r="12">
      <x:c r="A12" s="59" t="n">
        <x:v>43530.5</x:v>
      </x:c>
      <x:c r="B12" s="58" t="str">
        <x:v>A</x:v>
      </x:c>
      <x:c r="C12" s="58" t="str">
        <x:v>Atlanta Hawks</x:v>
      </x:c>
      <x:c r="D12" s="58" t="str">
        <x:v>W</x:v>
      </x:c>
      <x:c r="E12" s="58" t="n">
        <x:v>111</x:v>
      </x:c>
      <x:c r="F12" s="58" t="n">
        <x:v>104</x:v>
      </x:c>
      <x:c r="G12" s="58" t="n">
        <x:v>7</x:v>
      </x:c>
      <x:c r="H12" s="58" t="str">
        <x:v>NBA roster</x:v>
      </x:c>
      <x:c r="I12" s="58" t="str">
        <x:v>DNP-CD / 0</x:v>
      </x:c>
      <x:c r="J12" s="58" t="str">
        <x:v>NO_DIRECT_MINUTES</x:v>
      </x:c>
      <x:c r="K12" s="58" t="str">
        <x:v>ATL-side execution HOLD</x:v>
      </x:c>
      <x:c r="L12" s="58" t="str">
        <x:v>S25</x:v>
      </x:c>
    </x:row>
    <x:row r="13">
      <x:c r="A13" s="59" t="n">
        <x:v>43557.5</x:v>
      </x:c>
      <x:c r="B13" s="58" t="str">
        <x:v>H</x:v>
      </x:c>
      <x:c r="C13" s="58" t="str">
        <x:v>Atlanta Hawks</x:v>
      </x:c>
      <x:c r="D13" s="58" t="str">
        <x:v>W</x:v>
      </x:c>
      <x:c r="E13" s="58" t="n">
        <x:v>117</x:v>
      </x:c>
      <x:c r="F13" s="58" t="n">
        <x:v>111</x:v>
      </x:c>
      <x:c r="G13" s="58" t="n">
        <x:v>6</x:v>
      </x:c>
      <x:c r="H13" s="58" t="str">
        <x:v>NBA roster</x:v>
      </x:c>
      <x:c r="I13" s="58" t="str">
        <x:v>Inactive/0</x:v>
      </x:c>
      <x:c r="J13" s="58" t="str">
        <x:v>NO_DIRECT_MINUTES</x:v>
      </x:c>
      <x:c r="K13" s="58" t="str">
        <x:v>ATL-side execution HOLD</x:v>
      </x:c>
      <x:c r="L13" s="58" t="str">
        <x:v>S26</x:v>
      </x:c>
    </x:row>
    <x:row r="14">
      <x:c r="A14" s="57"/>
      <x:c r="B14" s="57"/>
      <x:c r="C14" s="57"/>
      <x:c r="D14" s="57"/>
      <x:c r="E14" s="57"/>
      <x:c r="F14" s="57"/>
      <x:c r="G14" s="57"/>
      <x:c r="H14" s="57"/>
      <x:c r="I14" s="57"/>
      <x:c r="J14" s="57"/>
      <x:c r="K14" s="57"/>
      <x:c r="L14" s="57"/>
    </x:row>
    <x:row r="15">
      <x:c r="A15" s="40" t="str">
        <x:v>Window</x:v>
      </x:c>
      <x:c r="B15" s="40" t="str">
        <x:v>Assign date</x:v>
      </x:c>
      <x:c r="C15" s="40" t="str">
        <x:v>Recall date</x:v>
      </x:c>
      <x:c r="D15" s="40" t="str">
        <x:v>Calendar days</x:v>
      </x:c>
      <x:c r="E15" s="40" t="str">
        <x:v>Entry</x:v>
      </x:c>
      <x:c r="F15" s="40" t="str">
        <x:v>Exit</x:v>
      </x:c>
      <x:c r="G15" s="40" t="str">
        <x:v>Contract/status</x:v>
      </x:c>
      <x:c r="H15" s="40" t="str">
        <x:v>Source ID</x:v>
      </x:c>
      <x:c r="I15" s="57"/>
      <x:c r="J15" s="40" t="str">
        <x:v>Audit</x:v>
      </x:c>
      <x:c r="K15" s="40" t="str">
        <x:v>Value</x:v>
      </x:c>
      <x:c r="L15" s="40" t="str">
        <x:v>Check</x:v>
      </x:c>
    </x:row>
    <x:row r="16">
      <x:c r="A16" s="58" t="n">
        <x:v>1</x:v>
      </x:c>
      <x:c r="B16" s="59" t="n">
        <x:v>43398.5</x:v>
      </x:c>
      <x:c r="C16" s="59" t="n">
        <x:v>43400.5</x:v>
      </x:c>
      <x:c r="D16" s="58" t="n">
        <x:v>2</x:v>
      </x:c>
      <x:c r="E16" s="58" t="str">
        <x:v>Austin assignment</x:v>
      </x:c>
      <x:c r="F16" s="58" t="str">
        <x:v>Recall</x:v>
      </x:c>
      <x:c r="G16" s="58" t="str">
        <x:v>NBA contract retained</x:v>
      </x:c>
      <x:c r="H16" s="58" t="str">
        <x:v>S22</x:v>
      </x:c>
      <x:c r="I16" s="57"/>
      <x:c r="J16" s="58" t="str">
        <x:v>Assignment windows</x:v>
      </x:c>
      <x:c r="K16" s="58" t="n">
        <x:f>COUNTA(A16:A34)</x:f>
        <x:v>19</x:v>
      </x:c>
      <x:c r="L16" s="58" t="str">
        <x:f>IF(K16=19,"PASS","FAIL")</x:f>
        <x:v>PASS</x:v>
      </x:c>
    </x:row>
    <x:row r="17">
      <x:c r="A17" s="58" t="n">
        <x:v>2</x:v>
      </x:c>
      <x:c r="B17" s="59" t="n">
        <x:v>43409.5</x:v>
      </x:c>
      <x:c r="C17" s="59" t="n">
        <x:v>43409.5</x:v>
      </x:c>
      <x:c r="D17" s="58" t="n">
        <x:v>0</x:v>
      </x:c>
      <x:c r="E17" s="58" t="str">
        <x:v>Austin assignment</x:v>
      </x:c>
      <x:c r="F17" s="58" t="str">
        <x:v>Same-day recall</x:v>
      </x:c>
      <x:c r="G17" s="58" t="str">
        <x:v>NBA contract retained</x:v>
      </x:c>
      <x:c r="H17" s="58" t="str">
        <x:v>S22</x:v>
      </x:c>
      <x:c r="I17" s="57"/>
      <x:c r="J17" s="58" t="str">
        <x:v>Direct games</x:v>
      </x:c>
      <x:c r="K17" s="58" t="n">
        <x:f>COUNTA(A12:A13)</x:f>
        <x:v>2</x:v>
      </x:c>
      <x:c r="L17" s="58" t="str">
        <x:f>IF(K17=2,"PASS","FAIL")</x:f>
        <x:v>PASS</x:v>
      </x:c>
    </x:row>
    <x:row r="18">
      <x:c r="A18" s="58" t="n">
        <x:v>3</x:v>
      </x:c>
      <x:c r="B18" s="59" t="n">
        <x:v>43412.5</x:v>
      </x:c>
      <x:c r="C18" s="59" t="n">
        <x:v>43412.5</x:v>
      </x:c>
      <x:c r="D18" s="58" t="n">
        <x:v>0</x:v>
      </x:c>
      <x:c r="E18" s="58" t="str">
        <x:v>Austin assignment</x:v>
      </x:c>
      <x:c r="F18" s="58" t="str">
        <x:v>Same-day recall</x:v>
      </x:c>
      <x:c r="G18" s="58" t="str">
        <x:v>NBA contract retained</x:v>
      </x:c>
      <x:c r="H18" s="58" t="str">
        <x:v>S22</x:v>
      </x:c>
      <x:c r="I18" s="57"/>
      <x:c r="J18" s="58" t="str">
        <x:v>Direct Metu minutes</x:v>
      </x:c>
      <x:c r="K18" s="58" t="n">
        <x:f>0</x:f>
        <x:v>0</x:v>
      </x:c>
      <x:c r="L18" s="58" t="str">
        <x:f>IF(K18=0,"PASS","FAIL")</x:f>
        <x:v>PASS</x:v>
      </x:c>
    </x:row>
    <x:row r="19">
      <x:c r="A19" s="58" t="n">
        <x:v>4</x:v>
      </x:c>
      <x:c r="B19" s="59" t="n">
        <x:v>43424.5</x:v>
      </x:c>
      <x:c r="C19" s="59" t="n">
        <x:v>43425.5</x:v>
      </x:c>
      <x:c r="D19" s="58" t="n">
        <x:v>1</x:v>
      </x:c>
      <x:c r="E19" s="58" t="str">
        <x:v>Austin assignment</x:v>
      </x:c>
      <x:c r="F19" s="58" t="str">
        <x:v>Recall</x:v>
      </x:c>
      <x:c r="G19" s="58" t="str">
        <x:v>Second reported assignment</x:v>
      </x:c>
      <x:c r="H19" s="58" t="str">
        <x:v>S22/S24</x:v>
      </x:c>
      <x:c r="I19" s="57"/>
      <x:c r="J19" s="58" t="str">
        <x:v>Base minutes</x:v>
      </x:c>
      <x:c r="K19" s="58" t="n">
        <x:f>D8</x:f>
        <x:v>145.4</x:v>
      </x:c>
      <x:c r="L19" s="58" t="str">
        <x:f>IF(ABS(K19-145.4)&lt;0.01,"PASS","FAIL")</x:f>
        <x:v>PASS</x:v>
      </x:c>
    </x:row>
    <x:row r="20">
      <x:c r="A20" s="58" t="n">
        <x:v>5</x:v>
      </x:c>
      <x:c r="B20" s="59" t="n">
        <x:v>43435.5</x:v>
      </x:c>
      <x:c r="C20" s="59" t="n">
        <x:v>43436.5</x:v>
      </x:c>
      <x:c r="D20" s="58" t="n">
        <x:v>1</x:v>
      </x:c>
      <x:c r="E20" s="58" t="str">
        <x:v>Austin assignment</x:v>
      </x:c>
      <x:c r="F20" s="58" t="str">
        <x:v>Recall</x:v>
      </x:c>
      <x:c r="G20" s="58" t="str">
        <x:v>NBA contract retained</x:v>
      </x:c>
      <x:c r="H20" s="58" t="str">
        <x:v>S22</x:v>
      </x:c>
      <x:c r="I20" s="57"/>
      <x:c r="J20" s="58" t="str">
        <x:v>High-base excess</x:v>
      </x:c>
      <x:c r="K20" s="58" t="n">
        <x:f>D9-D8</x:f>
        <x:v>34.599999999999994</x:v>
      </x:c>
      <x:c r="L20" s="58" t="str">
        <x:f>IF(ABS(K20-34.6)&lt;0.01,"DONOR REQUIRED","CHECK")</x:f>
        <x:v>DONOR REQUIRED</x:v>
      </x:c>
    </x:row>
    <x:row r="21">
      <x:c r="A21" s="58" t="n">
        <x:v>6</x:v>
      </x:c>
      <x:c r="B21" s="59" t="n">
        <x:v>43442.5</x:v>
      </x:c>
      <x:c r="C21" s="59" t="n">
        <x:v>43443.5</x:v>
      </x:c>
      <x:c r="D21" s="58" t="n">
        <x:v>1</x:v>
      </x:c>
      <x:c r="E21" s="58" t="str">
        <x:v>Austin assignment</x:v>
      </x:c>
      <x:c r="F21" s="58" t="str">
        <x:v>Recall</x:v>
      </x:c>
      <x:c r="G21" s="58" t="str">
        <x:v>NBA contract retained</x:v>
      </x:c>
      <x:c r="H21" s="58" t="str">
        <x:v>S22</x:v>
      </x:c>
      <x:c r="I21" s="57"/>
      <x:c r="J21" s="58" t="str">
        <x:v>Outcome lock</x:v>
      </x:c>
      <x:c r="K21" s="58" t="str">
        <x:f>IF(K18=0,"SPURS-SIDE DIRECT PASS","REVIEW")</x:f>
        <x:v>SPURS-SIDE DIRECT PASS</x:v>
      </x:c>
      <x:c r="L21" s="58" t="str">
        <x:f>IF(K21="SPURS-SIDE DIRECT PASS","PASS","HOLD")</x:f>
        <x:v>PASS</x:v>
      </x:c>
    </x:row>
    <x:row r="22">
      <x:c r="A22" s="58" t="n">
        <x:v>7</x:v>
      </x:c>
      <x:c r="B22" s="59" t="n">
        <x:v>43448.5</x:v>
      </x:c>
      <x:c r="C22" s="59" t="n">
        <x:v>43457.5</x:v>
      </x:c>
      <x:c r="D22" s="58" t="n">
        <x:v>9</x:v>
      </x:c>
      <x:c r="E22" s="58" t="str">
        <x:v>Austin assignment</x:v>
      </x:c>
      <x:c r="F22" s="58" t="str">
        <x:v>Recall</x:v>
      </x:c>
      <x:c r="G22" s="58" t="str">
        <x:v>Development window</x:v>
      </x:c>
      <x:c r="H22" s="58" t="str">
        <x:v>S22</x:v>
      </x:c>
      <x:c r="I22" s="57"/>
      <x:c r="J22" s="57"/>
      <x:c r="K22" s="57"/>
      <x:c r="L22" s="57"/>
    </x:row>
    <x:row r="23">
      <x:c r="A23" s="58" t="n">
        <x:v>8</x:v>
      </x:c>
      <x:c r="B23" s="59" t="n">
        <x:v>43461.5</x:v>
      </x:c>
      <x:c r="C23" s="59" t="n">
        <x:v>43468.5</x:v>
      </x:c>
      <x:c r="D23" s="58" t="n">
        <x:v>7</x:v>
      </x:c>
      <x:c r="E23" s="58" t="str">
        <x:v>Austin assignment</x:v>
      </x:c>
      <x:c r="F23" s="58" t="str">
        <x:v>Recall</x:v>
      </x:c>
      <x:c r="G23" s="58" t="str">
        <x:v>Development window</x:v>
      </x:c>
      <x:c r="H23" s="58" t="str">
        <x:v>S22</x:v>
      </x:c>
      <x:c r="I23" s="57"/>
      <x:c r="J23" s="60" t="str">
        <x:v>48-34 remains BASELINE, not a locked counterfactual result. Atlanta-side player impact is still HOLD.</x:v>
      </x:c>
      <x:c r="K23" s="60"/>
      <x:c r="L23" s="60"/>
    </x:row>
    <x:row r="24">
      <x:c r="A24" s="58" t="n">
        <x:v>9</x:v>
      </x:c>
      <x:c r="B24" s="59" t="n">
        <x:v>43470.5</x:v>
      </x:c>
      <x:c r="C24" s="59" t="n">
        <x:v>43470.5</x:v>
      </x:c>
      <x:c r="D24" s="58" t="n">
        <x:v>0</x:v>
      </x:c>
      <x:c r="E24" s="58" t="str">
        <x:v>Austin assignment</x:v>
      </x:c>
      <x:c r="F24" s="58" t="str">
        <x:v>Same-day recall</x:v>
      </x:c>
      <x:c r="G24" s="58" t="str">
        <x:v>NBA contract retained</x:v>
      </x:c>
      <x:c r="H24" s="58" t="str">
        <x:v>S22</x:v>
      </x:c>
      <x:c r="I24" s="57"/>
      <x:c r="J24" s="57"/>
      <x:c r="K24" s="57"/>
      <x:c r="L24" s="57"/>
    </x:row>
    <x:row r="25">
      <x:c r="A25" s="58" t="n">
        <x:v>10</x:v>
      </x:c>
      <x:c r="B25" s="59" t="n">
        <x:v>43472.5</x:v>
      </x:c>
      <x:c r="C25" s="59" t="n">
        <x:v>43482.5</x:v>
      </x:c>
      <x:c r="D25" s="58" t="n">
        <x:v>10</x:v>
      </x:c>
      <x:c r="E25" s="58" t="str">
        <x:v>Austin assignment</x:v>
      </x:c>
      <x:c r="F25" s="58" t="str">
        <x:v>Recall</x:v>
      </x:c>
      <x:c r="G25" s="58" t="str">
        <x:v>Development window</x:v>
      </x:c>
      <x:c r="H25" s="58" t="str">
        <x:v>S22</x:v>
      </x:c>
      <x:c r="I25" s="57"/>
      <x:c r="J25" s="57"/>
      <x:c r="K25" s="57"/>
      <x:c r="L25" s="57"/>
    </x:row>
    <x:row r="26">
      <x:c r="A26" s="58" t="n">
        <x:v>11</x:v>
      </x:c>
      <x:c r="B26" s="59" t="n">
        <x:v>43484.5</x:v>
      </x:c>
      <x:c r="C26" s="59" t="n">
        <x:v>43485.5</x:v>
      </x:c>
      <x:c r="D26" s="58" t="n">
        <x:v>1</x:v>
      </x:c>
      <x:c r="E26" s="58" t="str">
        <x:v>Austin assignment</x:v>
      </x:c>
      <x:c r="F26" s="58" t="str">
        <x:v>Recall</x:v>
      </x:c>
      <x:c r="G26" s="58" t="str">
        <x:v>NBA contract retained</x:v>
      </x:c>
      <x:c r="H26" s="58" t="str">
        <x:v>S22</x:v>
      </x:c>
      <x:c r="I26" s="57"/>
      <x:c r="J26" s="57"/>
      <x:c r="K26" s="57"/>
      <x:c r="L26" s="57"/>
    </x:row>
    <x:row r="27">
      <x:c r="A27" s="58" t="n">
        <x:v>12</x:v>
      </x:c>
      <x:c r="B27" s="59" t="n">
        <x:v>43490.5</x:v>
      </x:c>
      <x:c r="C27" s="59" t="n">
        <x:v>43491.5</x:v>
      </x:c>
      <x:c r="D27" s="58" t="n">
        <x:v>1</x:v>
      </x:c>
      <x:c r="E27" s="58" t="str">
        <x:v>Austin assignment</x:v>
      </x:c>
      <x:c r="F27" s="58" t="str">
        <x:v>Recall</x:v>
      </x:c>
      <x:c r="G27" s="58" t="str">
        <x:v>NBA contract retained</x:v>
      </x:c>
      <x:c r="H27" s="58" t="str">
        <x:v>S22</x:v>
      </x:c>
      <x:c r="I27" s="57"/>
      <x:c r="J27" s="57"/>
      <x:c r="K27" s="57"/>
      <x:c r="L27" s="57"/>
    </x:row>
    <x:row r="28">
      <x:c r="A28" s="58" t="n">
        <x:v>13</x:v>
      </x:c>
      <x:c r="B28" s="59" t="n">
        <x:v>43497.5</x:v>
      </x:c>
      <x:c r="C28" s="59" t="n">
        <x:v>43498.5</x:v>
      </x:c>
      <x:c r="D28" s="58" t="n">
        <x:v>1</x:v>
      </x:c>
      <x:c r="E28" s="58" t="str">
        <x:v>Austin assignment</x:v>
      </x:c>
      <x:c r="F28" s="58" t="str">
        <x:v>Recall</x:v>
      </x:c>
      <x:c r="G28" s="58" t="str">
        <x:v>NBA contract retained</x:v>
      </x:c>
      <x:c r="H28" s="58" t="str">
        <x:v>S22</x:v>
      </x:c>
      <x:c r="I28" s="57"/>
      <x:c r="J28" s="57"/>
      <x:c r="K28" s="57"/>
      <x:c r="L28" s="57"/>
    </x:row>
    <x:row r="29">
      <x:c r="A29" s="58" t="n">
        <x:v>14</x:v>
      </x:c>
      <x:c r="B29" s="59" t="n">
        <x:v>43506.5</x:v>
      </x:c>
      <x:c r="C29" s="59" t="n">
        <x:v>43507.5</x:v>
      </x:c>
      <x:c r="D29" s="58" t="n">
        <x:v>1</x:v>
      </x:c>
      <x:c r="E29" s="58" t="str">
        <x:v>Austin assignment</x:v>
      </x:c>
      <x:c r="F29" s="58" t="str">
        <x:v>Recall</x:v>
      </x:c>
      <x:c r="G29" s="58" t="str">
        <x:v>NBA contract retained</x:v>
      </x:c>
      <x:c r="H29" s="58" t="str">
        <x:v>S22</x:v>
      </x:c>
      <x:c r="I29" s="57"/>
      <x:c r="J29" s="57"/>
      <x:c r="K29" s="57"/>
      <x:c r="L29" s="57"/>
    </x:row>
    <x:row r="30">
      <x:c r="A30" s="58" t="n">
        <x:v>15</x:v>
      </x:c>
      <x:c r="B30" s="59" t="n">
        <x:v>43524.5</x:v>
      </x:c>
      <x:c r="C30" s="59" t="n">
        <x:v>43525.5</x:v>
      </x:c>
      <x:c r="D30" s="58" t="n">
        <x:v>1</x:v>
      </x:c>
      <x:c r="E30" s="58" t="str">
        <x:v>Austin assignment</x:v>
      </x:c>
      <x:c r="F30" s="58" t="str">
        <x:v>Recall</x:v>
      </x:c>
      <x:c r="G30" s="58" t="str">
        <x:v>NBA contract retained</x:v>
      </x:c>
      <x:c r="H30" s="58" t="str">
        <x:v>S22</x:v>
      </x:c>
      <x:c r="I30" s="57"/>
      <x:c r="J30" s="57"/>
      <x:c r="K30" s="57"/>
      <x:c r="L30" s="57"/>
    </x:row>
    <x:row r="31">
      <x:c r="A31" s="58" t="n">
        <x:v>16</x:v>
      </x:c>
      <x:c r="B31" s="59" t="n">
        <x:v>43531.5</x:v>
      </x:c>
      <x:c r="C31" s="59" t="n">
        <x:v>43534.5</x:v>
      </x:c>
      <x:c r="D31" s="58" t="n">
        <x:v>3</x:v>
      </x:c>
      <x:c r="E31" s="58" t="str">
        <x:v>Austin assignment</x:v>
      </x:c>
      <x:c r="F31" s="58" t="str">
        <x:v>Recall</x:v>
      </x:c>
      <x:c r="G31" s="58" t="str">
        <x:v>After Atlanta game</x:v>
      </x:c>
      <x:c r="H31" s="58" t="str">
        <x:v>S22</x:v>
      </x:c>
      <x:c r="I31" s="57"/>
      <x:c r="J31" s="57"/>
      <x:c r="K31" s="57"/>
      <x:c r="L31" s="57"/>
    </x:row>
    <x:row r="32">
      <x:c r="A32" s="58" t="n">
        <x:v>17</x:v>
      </x:c>
      <x:c r="B32" s="59" t="n">
        <x:v>43537.5</x:v>
      </x:c>
      <x:c r="C32" s="59" t="n">
        <x:v>43539.5</x:v>
      </x:c>
      <x:c r="D32" s="58" t="n">
        <x:v>2</x:v>
      </x:c>
      <x:c r="E32" s="58" t="str">
        <x:v>Austin assignment</x:v>
      </x:c>
      <x:c r="F32" s="58" t="str">
        <x:v>Recall</x:v>
      </x:c>
      <x:c r="G32" s="58" t="str">
        <x:v>NBA contract retained</x:v>
      </x:c>
      <x:c r="H32" s="58" t="str">
        <x:v>S22</x:v>
      </x:c>
      <x:c r="I32" s="57"/>
      <x:c r="J32" s="57"/>
      <x:c r="K32" s="57"/>
      <x:c r="L32" s="57"/>
    </x:row>
    <x:row r="33">
      <x:c r="A33" s="58" t="n">
        <x:v>18</x:v>
      </x:c>
      <x:c r="B33" s="59" t="n">
        <x:v>43543.5</x:v>
      </x:c>
      <x:c r="C33" s="59" t="n">
        <x:v>43544.5</x:v>
      </x:c>
      <x:c r="D33" s="58" t="n">
        <x:v>1</x:v>
      </x:c>
      <x:c r="E33" s="58" t="str">
        <x:v>Austin assignment</x:v>
      </x:c>
      <x:c r="F33" s="58" t="str">
        <x:v>Recall</x:v>
      </x:c>
      <x:c r="G33" s="58" t="str">
        <x:v>NBA contract retained</x:v>
      </x:c>
      <x:c r="H33" s="58" t="str">
        <x:v>S22</x:v>
      </x:c>
      <x:c r="I33" s="57"/>
      <x:c r="J33" s="57"/>
      <x:c r="K33" s="57"/>
      <x:c r="L33" s="57"/>
    </x:row>
    <x:row r="34">
      <x:c r="A34" s="58" t="n">
        <x:v>19</x:v>
      </x:c>
      <x:c r="B34" s="59" t="n">
        <x:v>43545.5</x:v>
      </x:c>
      <x:c r="C34" s="59" t="n">
        <x:v>43548.5</x:v>
      </x:c>
      <x:c r="D34" s="58" t="n">
        <x:v>3</x:v>
      </x:c>
      <x:c r="E34" s="58" t="str">
        <x:v>Austin assignment</x:v>
      </x:c>
      <x:c r="F34" s="58" t="str">
        <x:v>Recall</x:v>
      </x:c>
      <x:c r="G34" s="58" t="str">
        <x:v>Final logged window</x:v>
      </x:c>
      <x:c r="H34" s="58" t="str">
        <x:v>S22</x:v>
      </x:c>
      <x:c r="I34" s="57"/>
      <x:c r="J34" s="57"/>
      <x:c r="K34" s="57"/>
      <x:c r="L34" s="57"/>
    </x:row>
  </x:sheetData>
  <x:mergeCells>
    <x:mergeCell ref="A1:L2"/>
    <x:mergeCell ref="J23:L23"/>
  </x:mergeCells>
  <x:pageMargins left="0.7" right="0.7" top="0.75" bottom="0.75" header="0.3" footer="0.3"/>
  <x:tableParts count="1">
    <x:tablePart xmlns:r="http://schemas.openxmlformats.org/officeDocument/2006/relationships" r:id="R678b9e048593400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22" hidden="0" customWidth="1"/>
    <x:col min="9" max="9" width="22" hidden="0" customWidth="1"/>
    <x:col min="10" max="10" width="17" hidden="0" customWidth="1"/>
  </x:cols>
  <x:sheetData>
    <x:row r="1" ht="32" customHeight="1">
      <x:c r="A1" s="3" t="str">
        <x:v>2019 DRAFT BRIDGE — ACTUAL BASELINE, NOT A LOCKED OUTCOME</x:v>
      </x:c>
    </x:row>
    <x:row r="4">
      <x:c r="A4" s="11" t="str">
        <x:v>Team/Pick</x:v>
      </x:c>
      <x:c r="B4" s="11" t="str">
        <x:v>Actual W</x:v>
      </x:c>
      <x:c r="C4" s="11" t="str">
        <x:v>Actual L</x:v>
      </x:c>
      <x:c r="D4" s="11" t="str">
        <x:v>Pre-lottery slot</x:v>
      </x:c>
      <x:c r="E4" s="11" t="str">
        <x:v>No.1 odds</x:v>
      </x:c>
      <x:c r="F4" s="11" t="str">
        <x:v>Top-4 odds</x:v>
      </x:c>
      <x:c r="G4" s="11" t="str">
        <x:v>Actual draw</x:v>
      </x:c>
      <x:c r="H4" s="11" t="str">
        <x:v>Protection</x:v>
      </x:c>
      <x:c r="I4" s="11" t="str">
        <x:v>Actual disposition</x:v>
      </x:c>
      <x:c r="J4" s="11" t="str">
        <x:v>Status</x:v>
      </x:c>
    </x:row>
    <x:row r="5">
      <x:c r="A5" s="13" t="str">
        <x:v>Atlanta own</x:v>
      </x:c>
      <x:c r="B5" s="13" t="n">
        <x:v>29</x:v>
      </x:c>
      <x:c r="C5" s="13" t="n">
        <x:v>53</x:v>
      </x:c>
      <x:c r="D5" s="13" t="n">
        <x:v>5</x:v>
      </x:c>
      <x:c r="E5" s="61" t="n">
        <x:v>0.105</x:v>
      </x:c>
      <x:c r="F5" s="61" t="n">
        <x:v>0.4212</x:v>
      </x:c>
      <x:c r="G5" s="13" t="n">
        <x:v>8</x:v>
      </x:c>
      <x:c r="H5" s="13" t="str">
        <x:v>None</x:v>
      </x:c>
      <x:c r="I5" s="13" t="str">
        <x:v>Atlanta #8</x:v>
      </x:c>
      <x:c r="J5" s="13" t="str">
        <x:v>BASELINE_ONLY</x:v>
      </x:c>
    </x:row>
    <x:row r="6">
      <x:c r="A6" s="13" t="str">
        <x:v>Dallas → Atlanta</x:v>
      </x:c>
      <x:c r="B6" s="13" t="n">
        <x:v>33</x:v>
      </x:c>
      <x:c r="C6" s="13" t="n">
        <x:v>49</x:v>
      </x:c>
      <x:c r="D6" s="13" t="n">
        <x:v>9</x:v>
      </x:c>
      <x:c r="E6" s="61" t="n">
        <x:v>0.06</x:v>
      </x:c>
      <x:c r="F6" s="61" t="n">
        <x:v>0.263</x:v>
      </x:c>
      <x:c r="G6" s="13" t="n">
        <x:v>10</x:v>
      </x:c>
      <x:c r="H6" s="13" t="str">
        <x:v>2019 Top 5</x:v>
      </x:c>
      <x:c r="I6" s="13" t="str">
        <x:v>Conveyed to Atlanta</x:v>
      </x:c>
      <x:c r="J6" s="13" t="str">
        <x:v>BASELINE_ONLY</x:v>
      </x:c>
    </x:row>
    <x:row r="8">
      <x:c r="A8" s="6" t="str">
        <x:v>SENSITIVITY EXAMPLE — flip only the 2018-12-12 Dallas 114-107 Atlanta game (not a canon result)</x:v>
      </x:c>
      <x:c r="B8" s="6"/>
      <x:c r="C8" s="6"/>
      <x:c r="D8" s="6"/>
      <x:c r="E8" s="6"/>
      <x:c r="F8" s="6"/>
      <x:c r="G8" s="6"/>
      <x:c r="H8" s="6"/>
      <x:c r="I8" s="6"/>
      <x:c r="J8" s="6"/>
    </x:row>
    <x:row r="9">
      <x:c r="A9" s="13" t="str">
        <x:v>Atlanta</x:v>
      </x:c>
      <x:c r="B9" s="13" t="n">
        <x:v>30</x:v>
      </x:c>
      <x:c r="C9" s="13" t="n">
        <x:v>52</x:v>
      </x:c>
      <x:c r="D9" s="13" t="str">
        <x:v>still near 5th inverse</x:v>
      </x:c>
      <x:c r="E9" s="13" t="str">
        <x:v>RECALCULATE</x:v>
      </x:c>
      <x:c r="F9" s="13" t="str">
        <x:v>RECALCULATE</x:v>
      </x:c>
      <x:c r="G9" s="13" t="str">
        <x:v>DO NOT COPY</x:v>
      </x:c>
      <x:c r="H9" s="13"/>
      <x:c r="I9" s="13"/>
      <x:c r="J9" s="13" t="str">
        <x:v>EXAMPLE</x:v>
      </x:c>
    </x:row>
    <x:row r="10">
      <x:c r="A10" s="13" t="str">
        <x:v>Dallas</x:v>
      </x:c>
      <x:c r="B10" s="13" t="n">
        <x:v>32</x:v>
      </x:c>
      <x:c r="C10" s="13" t="n">
        <x:v>50</x:v>
      </x:c>
      <x:c r="D10" s="13" t="str">
        <x:v>ties Washington</x:v>
      </x:c>
      <x:c r="E10" s="13" t="str">
        <x:v>RECALCULATE</x:v>
      </x:c>
      <x:c r="F10" s="13" t="str">
        <x:v>RECALCULATE</x:v>
      </x:c>
      <x:c r="G10" s="13" t="str">
        <x:v>DO NOT COPY</x:v>
      </x:c>
      <x:c r="H10" s="13" t="str">
        <x:v>Top 5 remains</x:v>
      </x:c>
      <x:c r="I10" s="13" t="str">
        <x:v>Convey/rollover unknown</x:v>
      </x:c>
      <x:c r="J10" s="13" t="str">
        <x:v>EXAMPLE</x:v>
      </x:c>
    </x:row>
    <x:row r="12" ht="36" customHeight="1">
      <x:c r="A12" s="17" t="str">
        <x:v>REQUIRED ORDER: both teams' W/L for every changed game → 14 non-playoff teams → tied combinations/order → fixed-seed lottery → Dallas protection → trades and selections</x:v>
      </x:c>
    </x:row>
    <x:row r="14">
      <x:c r="A14" s="64" t="str">
        <x:v>FINAL BLOCKER: Spurs baseline role is closed. Execute Atlanta player-game impacts and review any Spellman competitive stints before standings/lottery.</x:v>
      </x:c>
    </x:row>
  </x:sheetData>
  <x:mergeCells>
    <x:mergeCell ref="A1:J2"/>
    <x:mergeCell ref="A8:J8"/>
    <x:mergeCell ref="A12:J12"/>
    <x:mergeCell ref="A14:J14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4" hidden="0" customWidth="1"/>
    <x:col min="3" max="3" width="38" hidden="0" customWidth="1"/>
    <x:col min="4" max="4" width="20" hidden="0" customWidth="1"/>
    <x:col min="5" max="5" width="26" hidden="0" customWidth="1"/>
    <x:col min="6" max="6" width="26" hidden="0" customWidth="1"/>
  </x:cols>
  <x:sheetData>
    <x:row r="1" ht="32" customHeight="1">
      <x:c r="A1" s="3" t="str">
        <x:v>R09 AUDIT GATES</x:v>
      </x:c>
    </x:row>
    <x:row r="4">
      <x:c r="A4" s="11" t="str">
        <x:v>Gate</x:v>
      </x:c>
      <x:c r="B4" s="11" t="str">
        <x:v>Requirement</x:v>
      </x:c>
      <x:c r="C4" s="11" t="str">
        <x:v>Current evidence</x:v>
      </x:c>
      <x:c r="D4" s="11" t="str">
        <x:v>Status</x:v>
      </x:c>
      <x:c r="E4" s="11" t="str">
        <x:v>Blocks</x:v>
      </x:c>
      <x:c r="F4" s="11" t="str">
        <x:v>Next action</x:v>
      </x:c>
    </x:row>
    <x:row r="5">
      <x:c r="A5" s="51" t="str">
        <x:v>G0</x:v>
      </x:c>
      <x:c r="B5" s="51" t="str">
        <x:v>Spellman destination + second-team baseline</x:v>
      </x:c>
      <x:c r="C5" s="51" t="str">
        <x:v>Spurs #49; base 29 G/145.4 min; ATL series 0 min</x:v>
      </x:c>
      <x:c r="D5" s="53" t="str">
        <x:v>PASS</x:v>
      </x:c>
      <x:c r="E5" s="51" t="str">
        <x:v>None</x:v>
      </x:c>
      <x:c r="F5" s="51" t="str">
        <x:v>Preserve role cap and donor trigger</x:v>
      </x:c>
    </x:row>
    <x:row r="6">
      <x:c r="A6" s="51" t="str">
        <x:v>G1</x:v>
      </x:c>
      <x:c r="B6" s="51" t="str">
        <x:v>82 unique + 29-53 + score/OT checksum</x:v>
      </x:c>
      <x:c r="C6" s="51" t="str">
        <x:v>82 rows; 29-53; 9,294 pts; 19,855 game-min</x:v>
      </x:c>
      <x:c r="D6" s="53" t="str">
        <x:v>PASS</x:v>
      </x:c>
      <x:c r="E6" s="51" t="str">
        <x:v>None</x:v>
      </x:c>
      <x:c r="F6" s="51" t="str">
        <x:v>Preserve immutable baseline</x:v>
      </x:c>
    </x:row>
    <x:row r="7">
      <x:c r="A7" s="51" t="str">
        <x:v>G2</x:v>
      </x:c>
      <x:c r="B7" s="51" t="str">
        <x:v>Rotation/assignment/impact priors before results</x:v>
      </x:c>
      <x:c r="C7" s="51" t="str">
        <x:v>Only season range locked</x:v>
      </x:c>
      <x:c r="D7" s="53" t="str">
        <x:v>HOLD</x:v>
      </x:c>
      <x:c r="E7" s="51" t="str">
        <x:v>CF execution</x:v>
      </x:c>
      <x:c r="F7" s="51" t="str">
        <x:v>Build date-specific availability</x:v>
      </x:c>
    </x:row>
    <x:row r="8">
      <x:c r="A8" s="51" t="str">
        <x:v>G3</x:v>
      </x:c>
      <x:c r="B8" s="51" t="str">
        <x:v>Every game minute-conserved; no NBA/Erie collision</x:v>
      </x:c>
      <x:c r="C8" s="51" t="str">
        <x:v>Season cap proven; player-game not built</x:v>
      </x:c>
      <x:c r="D8" s="53" t="str">
        <x:v>HOLD</x:v>
      </x:c>
      <x:c r="E8" s="51" t="str">
        <x:v>CF execution</x:v>
      </x:c>
      <x:c r="F8" s="51" t="str">
        <x:v>Create player-game donor vectors</x:v>
      </x:c>
    </x:row>
    <x:row r="9">
      <x:c r="A9" s="51" t="str">
        <x:v>G4</x:v>
      </x:c>
      <x:c r="B9" s="51" t="str">
        <x:v>All 82 games contact classified</x:v>
      </x:c>
      <x:c r="C9" s="51" t="str">
        <x:v>82/82 ROSTER</x:v>
      </x:c>
      <x:c r="D9" s="53" t="str">
        <x:v>PASS</x:v>
      </x:c>
      <x:c r="E9" s="51" t="str">
        <x:v>None</x:v>
      </x:c>
      <x:c r="F9" s="51" t="str">
        <x:v>Upgrade DIRECT/CASCADE as needed</x:v>
      </x:c>
    </x:row>
    <x:row r="10">
      <x:c r="A10" s="51" t="str">
        <x:v>G5</x:v>
      </x:c>
      <x:c r="B10" s="51" t="str">
        <x:v>Pregame-only pB; fixed latent u; no manual flip</x:v>
      </x:c>
      <x:c r="C10" s="51" t="str">
        <x:v>Method selected; inputs absent</x:v>
      </x:c>
      <x:c r="D10" s="53" t="str">
        <x:v>HOLD</x:v>
      </x:c>
      <x:c r="E10" s="51" t="str">
        <x:v>CF result</x:v>
      </x:c>
      <x:c r="F10" s="51" t="str">
        <x:v>Calibrate and preregister</x:v>
      </x:c>
    </x:row>
    <x:row r="11">
      <x:c r="A11" s="51" t="str">
        <x:v>G6</x:v>
      </x:c>
      <x:c r="B11" s="51" t="str">
        <x:v>Chronological injury/fatigue/trade updates</x:v>
      </x:c>
      <x:c r="C11" s="51" t="str">
        <x:v>Not executed</x:v>
      </x:c>
      <x:c r="D11" s="53" t="str">
        <x:v>HOLD</x:v>
      </x:c>
      <x:c r="E11" s="51" t="str">
        <x:v>CF result</x:v>
      </x:c>
      <x:c r="F11" s="51" t="str">
        <x:v>Process in date order</x:v>
      </x:c>
    </x:row>
    <x:row r="12">
      <x:c r="A12" s="51" t="str">
        <x:v>G7</x:v>
      </x:c>
      <x:c r="B12" s="51" t="str">
        <x:v>No exact score invention; sensitivity isolated</x:v>
      </x:c>
      <x:c r="C12" s="51" t="str">
        <x:v>No CF scores/results created</x:v>
      </x:c>
      <x:c r="D12" s="53" t="str">
        <x:v>PASS</x:v>
      </x:c>
      <x:c r="E12" s="51" t="str">
        <x:v>None</x:v>
      </x:c>
      <x:c r="F12" s="51" t="str">
        <x:v>Keep results HOLD until model</x:v>
      </x:c>
    </x:row>
    <x:row r="13">
      <x:c r="A13" s="51" t="str">
        <x:v>G8</x:v>
      </x:c>
      <x:c r="B13" s="51" t="str">
        <x:v>Opponent W/L + league standings/tiebreaker</x:v>
      </x:c>
      <x:c r="C13" s="51" t="str">
        <x:v>Not executed</x:v>
      </x:c>
      <x:c r="D13" s="53" t="str">
        <x:v>HOLD</x:v>
      </x:c>
      <x:c r="E13" s="51" t="str">
        <x:v>2019 lottery</x:v>
      </x:c>
      <x:c r="F13" s="51" t="str">
        <x:v>Build league bridge</x:v>
      </x:c>
    </x:row>
    <x:row r="14">
      <x:c r="A14" s="51" t="str">
        <x:v>G9</x:v>
      </x:c>
      <x:c r="B14" s="51" t="str">
        <x:v>Raw baseline immutable; run/model/seed logged</x:v>
      </x:c>
      <x:c r="C14" s="51" t="str">
        <x:v>Workbook baseline created</x:v>
      </x:c>
      <x:c r="D14" s="53" t="str">
        <x:v>PARTIAL</x:v>
      </x:c>
      <x:c r="E14" s="51" t="str">
        <x:v>Reproduction</x:v>
      </x:c>
      <x:c r="F14" s="51" t="str">
        <x:v>Add run manifest after preregistration</x:v>
      </x:c>
    </x:row>
    <x:row r="15">
      <x:c r="A15" s="66"/>
      <x:c r="B15" s="66"/>
      <x:c r="C15" s="66"/>
      <x:c r="D15" s="66"/>
      <x:c r="E15" s="66"/>
      <x:c r="F15" s="66"/>
    </x:row>
    <x:row r="16">
      <x:c r="A16" s="50" t="str">
        <x:v>OVERALL</x:v>
      </x:c>
      <x:c r="B16" s="50" t="str">
        <x:v>SECOND_TEAM_BASELINE_PASS / OUTCOME_HOLD</x:v>
      </x:c>
      <x:c r="C16" s="50"/>
      <x:c r="D16" s="50"/>
      <x:c r="E16" s="50"/>
      <x:c r="F16" s="50" t="str">
        <x:v>Atlanta player-game and competitive-stint outcomes remain</x:v>
      </x:c>
    </x:row>
  </x:sheetData>
  <x:mergeCells>
    <x:mergeCell ref="A1:F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5" hidden="0" customWidth="1"/>
    <x:col min="3" max="3" width="48" hidden="0" customWidth="1"/>
    <x:col min="4" max="4" width="80" hidden="0" customWidth="1"/>
  </x:cols>
  <x:sheetData>
    <x:row r="1" ht="32" customHeight="1">
      <x:c r="A1" s="3" t="str">
        <x:v>SOURCE REGISTER</x:v>
      </x:c>
    </x:row>
    <x:row r="4">
      <x:c r="A4" s="11" t="str">
        <x:v>ID</x:v>
      </x:c>
      <x:c r="B4" s="11" t="str">
        <x:v>Source</x:v>
      </x:c>
      <x:c r="C4" s="11" t="str">
        <x:v>Use</x:v>
      </x:c>
      <x:c r="D4" s="11" t="str">
        <x:v>URL</x:v>
      </x:c>
    </x:row>
    <x:row r="5">
      <x:c r="A5" s="51" t="str">
        <x:v>S01</x:v>
      </x:c>
      <x:c r="B5" s="51" t="str">
        <x:v>NBA Stats — Atlanta schedule</x:v>
      </x:c>
      <x:c r="C5" s="51" t="str">
        <x:v>82-game official schedule baseline</x:v>
      </x:c>
      <x:c r="D5" s="51" t="str">
        <x:v>https://www.nba.com/stats/team/1610612737/schedule?Season=2018-19</x:v>
      </x:c>
    </x:row>
    <x:row r="6">
      <x:c r="A6" s="51" t="str">
        <x:v>S02</x:v>
      </x:c>
      <x:c r="B6" s="51" t="str">
        <x:v>ESPN — Atlanta schedule</x:v>
      </x:c>
      <x:c r="C6" s="51" t="str">
        <x:v>Scores/order cross-check; timezone dates not authoritative</x:v>
      </x:c>
      <x:c r="D6" s="51" t="str">
        <x:v>https://www.espn.com/nba/team/schedule?name=ATL&amp;season=2019&amp;seasontype=2</x:v>
      </x:c>
    </x:row>
    <x:row r="7">
      <x:c r="A7" s="51" t="str">
        <x:v>S03</x:v>
      </x:c>
      <x:c r="B7" s="51" t="str">
        <x:v>Basketball-Reference — Atlanta schedule</x:v>
      </x:c>
      <x:c r="C7" s="51" t="str">
        <x:v>29-53 and game-log cross-check</x:v>
      </x:c>
      <x:c r="D7" s="51" t="str">
        <x:v>https://www.basketball-reference.com/teams/ATL/2019_games.html</x:v>
      </x:c>
    </x:row>
    <x:row r="8">
      <x:c r="A8" s="51" t="str">
        <x:v>S04</x:v>
      </x:c>
      <x:c r="B8" s="51" t="str">
        <x:v>NBA Stats — Atlanta player totals</x:v>
      </x:c>
      <x:c r="C8" s="51" t="str">
        <x:v>Roster GP/GS/minutes baseline</x:v>
      </x:c>
      <x:c r="D8" s="51" t="str">
        <x:v>https://www.nba.com/stats/players/traditional?Season=2018-19&amp;SeasonType=Regular%20Season&amp;TeamID=1610612737&amp;PerMode=Totals</x:v>
      </x:c>
    </x:row>
    <x:row r="9">
      <x:c r="A9" s="51" t="str">
        <x:v>S05</x:v>
      </x:c>
      <x:c r="B9" s="51" t="str">
        <x:v>Hawks — Spellman injury update</x:v>
      </x:c>
      <x:c r="C9" s="51" t="str">
        <x:v>March 1 high ankle sprain; not copied to protagonist</x:v>
      </x:c>
      <x:c r="D9" s="51" t="str">
        <x:v>https://www.nba.com/hawks/news/omari-spellman-injury-update</x:v>
      </x:c>
    </x:row>
    <x:row r="10">
      <x:c r="A10" s="51" t="str">
        <x:v>S06</x:v>
      </x:c>
      <x:c r="B10" s="51" t="str">
        <x:v>NBA G League — Spellman</x:v>
      </x:c>
      <x:c r="C10" s="51" t="str">
        <x:v>2018-19: 3 starts, 32.7 MPG</x:v>
      </x:c>
      <x:c r="D10" s="51" t="str">
        <x:v>https://gleague.nba.com/player/1629016</x:v>
      </x:c>
    </x:row>
    <x:row r="11">
      <x:c r="A11" s="51" t="str">
        <x:v>S07</x:v>
      </x:c>
      <x:c r="B11" s="51" t="str">
        <x:v>Hawks — 2019 lottery odds explained</x:v>
      </x:c>
      <x:c r="C11" s="51" t="str">
        <x:v>Atlanta/Dallas pick protection and odds baseline</x:v>
      </x:c>
      <x:c r="D11" s="51" t="str">
        <x:v>https://www.nba.com/hawks/features/hawks-lottery-odds-explained</x:v>
      </x:c>
    </x:row>
    <x:row r="12">
      <x:c r="A12" s="51" t="str">
        <x:v>S08</x:v>
      </x:c>
      <x:c r="B12" s="51" t="str">
        <x:v>NBA Communications — 2019 tiebreakers</x:v>
      </x:c>
      <x:c r="C12" s="51" t="str">
        <x:v>Lottery teams, inverse order, tied combinations</x:v>
      </x:c>
      <x:c r="D12" s="51" t="str">
        <x:v>https://pr.nba.com/2019-nba-draft-tiebreakers/</x:v>
      </x:c>
    </x:row>
    <x:row r="13">
      <x:c r="A13" s="51" t="str">
        <x:v>S09</x:v>
      </x:c>
      <x:c r="B13" s="51" t="str">
        <x:v>NBA — 2019 lottery result</x:v>
      </x:c>
      <x:c r="C13" s="51" t="str">
        <x:v>Actual draw baseline only</x:v>
      </x:c>
      <x:c r="D13" s="51" t="str">
        <x:v>https://www.nba.com/news/pelicans-win-nba-draft-lottery</x:v>
      </x:c>
    </x:row>
    <x:row r="14">
      <x:c r="A14" s="51" t="str">
        <x:v>S10</x:v>
      </x:c>
      <x:c r="B14" s="51" t="str">
        <x:v>Hawks — Oct. 24 Dallas game</x:v>
      </x:c>
      <x:c r="C14" s="51" t="str">
        <x:v>Atlanta 111-104 Dallas official game page</x:v>
      </x:c>
      <x:c r="D14" s="51" t="str">
        <x:v>https://www.nba.com/hawks/game/0021800052-mavericks-vs-hawks-atlanta-ga-10-24-2018</x:v>
      </x:c>
    </x:row>
    <x:row r="15">
      <x:c r="A15" s="51" t="str">
        <x:v>S11</x:v>
      </x:c>
      <x:c r="B15" s="51" t="str">
        <x:v>Mavericks — Dec. 12 Atlanta game</x:v>
      </x:c>
      <x:c r="C15" s="51" t="str">
        <x:v>Dallas 114-107 Atlanta official recap</x:v>
      </x:c>
      <x:c r="D15" s="51" t="str">
        <x:v>https://www.nba.com/mavs/mavs-get-a-spark-from-carlisle-and-rallied-for-a-114-107-victory-over-the-hawks</x:v>
      </x:c>
    </x:row>
    <x:row r="16">
      <x:c r="A16" s="51" t="str">
        <x:v>S12</x:v>
      </x:c>
      <x:c r="B16" s="51" t="str">
        <x:v>NBA — 2018 Atlanta draft</x:v>
      </x:c>
      <x:c r="C16" s="51" t="str">
        <x:v>Actual 30th pick was Spellman</x:v>
      </x:c>
      <x:c r="D16" s="51" t="str">
        <x:v>https://www.nba.com/hawks/news/hawks-acquire-trae-young-select-kevin-huerter-omari-spellman-2018-nba-draft</x:v>
      </x:c>
    </x:row>
    <x:row r="17">
      <x:c r="A17" s="51" t="str">
        <x:v>S13</x:v>
      </x:c>
      <x:c r="B17" s="51" t="str">
        <x:v>NBA — 2018 Draft Trade Tracker</x:v>
      </x:c>
      <x:c r="C17" s="51" t="str">
        <x:v>Actual picks, rights trades, and destination teams</x:v>
      </x:c>
      <x:c r="D17" s="51" t="str">
        <x:v>https://www.nba.com/2018-draft-trade-tracker</x:v>
      </x:c>
    </x:row>
    <x:row r="18">
      <x:c r="A18" s="51" t="str">
        <x:v>S14</x:v>
      </x:c>
      <x:c r="B18" s="51" t="str">
        <x:v>San Antonio Express-News — Spurs workout target</x:v>
      </x:c>
      <x:c r="C18" s="51" t="str">
        <x:v>Spellman worked out for Spurs; second workout interest</x:v>
      </x:c>
      <x:c r="D18" s="51" t="str">
        <x:v>https://www.expressnews.com/spurs-nation/article/Spurs-target-Villanova-s-Spellman-others-for-12994749.php</x:v>
      </x:c>
    </x:row>
    <x:row r="19">
      <x:c r="A19" s="51" t="str">
        <x:v>S15</x:v>
      </x:c>
      <x:c r="B19" s="51" t="str">
        <x:v>Sports Illustrated — final 2018 mock</x:v>
      </x:c>
      <x:c r="C19" s="51" t="str">
        <x:v>Spellman #44 range; Spurs fit; Metu second-round range</x:v>
      </x:c>
      <x:c r="D19" s="51" t="str">
        <x:v>https://www.si.com/nba/2018/06/21/nba-mock-draft-2018-trade-rumors-final-picks-deandre-ayton-trae-young</x:v>
      </x:c>
    </x:row>
    <x:row r="20">
      <x:c r="A20" s="51" t="str">
        <x:v>S16</x:v>
      </x:c>
      <x:c r="B20" s="51" t="str">
        <x:v>Wizards — Issuf Sanon plan</x:v>
      </x:c>
      <x:c r="C20" s="51" t="str">
        <x:v>Washington explicitly preferred an overseas stash</x:v>
      </x:c>
      <x:c r="D20" s="51" t="str">
        <x:v>https://www.nba.com/wizards/wizards-plan-second-round-pick-issuf-sanon</x:v>
      </x:c>
    </x:row>
    <x:row r="21">
      <x:c r="A21" s="51" t="str">
        <x:v>S17</x:v>
      </x:c>
      <x:c r="B21" s="51" t="str">
        <x:v>Nets — Rodions Kurucs scouting history</x:v>
      </x:c>
      <x:c r="C21" s="51" t="str">
        <x:v>Brooklyn's long-running Kurucs evaluation</x:v>
      </x:c>
      <x:c r="D21" s="51" t="str">
        <x:v>https://www.nba.com/nets/news/feature/2018/12/28/brooklyn-nets-rookie-rodions-kurucs-had-a-breakout-month-in-december</x:v>
      </x:c>
    </x:row>
    <x:row r="22">
      <x:c r="A22" s="51" t="str">
        <x:v>S18</x:v>
      </x:c>
      <x:c r="B22" s="51" t="str">
        <x:v>NBA — 2018 big-board tiers</x:v>
      </x:c>
      <x:c r="C22" s="51" t="str">
        <x:v>Spalding in drafted second-round tier; Welsh in the mix</x:v>
      </x:c>
      <x:c r="D22" s="51" t="str">
        <x:v>https://www.nba.com/da-big-board-bigs-2018-draft</x:v>
      </x:c>
    </x:row>
    <x:row r="23">
      <x:c r="A23" s="51" t="str">
        <x:v>S19</x:v>
      </x:c>
      <x:c r="B23" s="51" t="str">
        <x:v>Nuggets — Thomas Welsh two-way</x:v>
      </x:c>
      <x:c r="C23" s="51" t="str">
        <x:v>Actual Welsh two-way destination used as role-preservation baseline</x:v>
      </x:c>
      <x:c r="D23" s="51" t="str">
        <x:v>https://www.nba.com/nuggets/news/thomas-welsh-signs-two-way-contract-071918</x:v>
      </x:c>
    </x:row>
    <x:row r="24">
      <x:c r="A24" s="51" t="str">
        <x:v>S20</x:v>
      </x:c>
      <x:c r="B24" s="51" t="str">
        <x:v>Basketball-Reference — Chimezie Metu</x:v>
      </x:c>
      <x:c r="C24" s="51" t="str">
        <x:v>2018-19 San Antonio: 29 games, 5.0 MPG (145 minutes)</x:v>
      </x:c>
      <x:c r="D24" s="51" t="str">
        <x:v>https://www.basketball-reference.com/players/m/metuch01.html</x:v>
      </x:c>
    </x:row>
    <x:row r="25">
      <x:c r="A25" s="51" t="str">
        <x:v>S21</x:v>
      </x:c>
      <x:c r="B25" s="51" t="str">
        <x:v>Pounding the Rock — Metu season review</x:v>
      </x:c>
      <x:c r="C25" s="51" t="str">
        <x:v>Most rookie NBA minutes came in garbage time; Austin was primary development venue</x:v>
      </x:c>
      <x:c r="D25" s="51" t="str">
        <x:v>https://www.poundingtherock.com/2019/5/4/18523491/2018-2019-spurs-player-reviews-chimezie-metu</x:v>
      </x:c>
    </x:row>
    <x:row r="26">
      <x:c r="A26" s="51" t="str">
        <x:v>S22</x:v>
      </x:c>
      <x:c r="B26" s="51" t="str">
        <x:v>RealGM — Chimezie Metu profile</x:v>
      </x:c>
      <x:c r="C26" s="51" t="str">
        <x:v>2018-19 NBA totals, Austin totals, and assignment/recall transaction log</x:v>
      </x:c>
      <x:c r="D26" s="51" t="str">
        <x:v>https://basketball.realgm.com/player/Chimezie-Metu/Summary/76976</x:v>
      </x:c>
    </x:row>
    <x:row r="27">
      <x:c r="A27" s="51" t="str">
        <x:v>S23</x:v>
      </x:c>
      <x:c r="B27" s="51" t="str">
        <x:v>Spurs — Metu signing</x:v>
      </x:c>
      <x:c r="C27" s="51" t="str">
        <x:v>Second-round pick signed to an NBA multi-year contract, not a two-way</x:v>
      </x:c>
      <x:c r="D27" s="51" t="str">
        <x:v>https://www.nba.com/spurs/news/spurs-sign-2018-second-round-pick-chimezie-metu</x:v>
      </x:c>
    </x:row>
    <x:row r="28">
      <x:c r="A28" s="51" t="str">
        <x:v>S24</x:v>
      </x:c>
      <x:c r="B28" s="51" t="str">
        <x:v>Fox San Antonio — Nov. 20 assignment</x:v>
      </x:c>
      <x:c r="C28" s="51" t="str">
        <x:v>Contemporary report identifies Metu's second Austin assignment and NBA baseline</x:v>
      </x:c>
      <x:c r="D28" s="51" t="str">
        <x:v>https://foxsanantonio.com/sports/max-sports/spurs-assign-rookie-metu-to-g-league</x:v>
      </x:c>
    </x:row>
    <x:row r="29">
      <x:c r="A29" s="51" t="str">
        <x:v>S25</x:v>
      </x:c>
      <x:c r="B29" s="51" t="str">
        <x:v>ESPN — 2019-03-06 Spurs at Atlanta</x:v>
      </x:c>
      <x:c r="C29" s="51" t="str">
        <x:v>Spurs 111-104; Metu DNP-Coach's Decision</x:v>
      </x:c>
      <x:c r="D29" s="51" t="str">
        <x:v>https://www.espn.com/nba/boxscore/_/gameId/401071641</x:v>
      </x:c>
    </x:row>
    <x:row r="30">
      <x:c r="A30" s="51" t="str">
        <x:v>S26</x:v>
      </x:c>
      <x:c r="B30" s="51" t="str">
        <x:v>NBA Hawks — 2019-04-02 Atlanta at Spurs</x:v>
      </x:c>
      <x:c r="C30" s="51" t="str">
        <x:v>Spurs 117-111; Metu recorded no minutes</x:v>
      </x:c>
      <x:c r="D30" s="51" t="str">
        <x:v>https://www.nba.com/hawks/game/0021801162-hawks-vs-spurs-san-antonio-tx-04-02-2019</x:v>
      </x:c>
    </x:row>
    <x:row r="31">
      <x:c r="A31" s="51" t="str">
        <x:v>S27</x:v>
      </x:c>
      <x:c r="B31" s="51" t="str">
        <x:v>Spurs — 2019 Metu Austin recap</x:v>
      </x:c>
      <x:c r="C31" s="51" t="str">
        <x:v>2018-19 Austin: 26 games, 14.0/7.4/2.3 in 27.3 MPG</x:v>
      </x:c>
      <x:c r="D31" s="51" t="str">
        <x:v>https://www.nba.com/spurs/news/san-antonio-assigns-chimezie-metu-austin-spurs-8</x:v>
      </x:c>
    </x:row>
  </x:sheetData>
  <x:mergeCells>
    <x:mergeCell ref="A1:D2"/>
  </x:mergeCells>
  <x:pageMargins left="0.7" right="0.7" top="0.75" bottom="0.75" header="0.3" footer="0.3"/>
  <x:tableParts count="1">
    <x:tablePart xmlns:r="http://schemas.openxmlformats.org/officeDocument/2006/relationships" r:id="R31c25f5cf78044f3"/>
  </x:tableParts>
</x:worksheet>
</file>