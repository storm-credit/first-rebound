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c1f8df573843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6e4bc41d4574772"/>
    <x:sheet xmlns:r="http://schemas.openxmlformats.org/officeDocument/2006/relationships" name="Game Ledger" sheetId="2" r:id="Re49770cebfec4529"/>
    <x:sheet xmlns:r="http://schemas.openxmlformats.org/officeDocument/2006/relationships" name="ATL Assignment" sheetId="3" r:id="Rabe5bfb32a504391"/>
    <x:sheet xmlns:r="http://schemas.openxmlformats.org/officeDocument/2006/relationships" name="ATL Receivers" sheetId="4" r:id="R596ce19fcc1a4e0d"/>
    <x:sheet xmlns:r="http://schemas.openxmlformats.org/officeDocument/2006/relationships" name="ATL Priors" sheetId="5" r:id="R2d2845ce88344b83"/>
    <x:sheet xmlns:r="http://schemas.openxmlformats.org/officeDocument/2006/relationships" name="Season Minutes" sheetId="6" r:id="R77d740f6f72c40ba"/>
    <x:sheet xmlns:r="http://schemas.openxmlformats.org/officeDocument/2006/relationships" name="2018 Draft Board" sheetId="7" r:id="R6ebb0f3f71f2402e"/>
    <x:sheet xmlns:r="http://schemas.openxmlformats.org/officeDocument/2006/relationships" name="Spurs Impact" sheetId="8" r:id="Rb97c200580d040c1"/>
    <x:sheet xmlns:r="http://schemas.openxmlformats.org/officeDocument/2006/relationships" name="Cascade Impact" sheetId="9" r:id="R4298a8c729b34551"/>
    <x:sheet xmlns:r="http://schemas.openxmlformats.org/officeDocument/2006/relationships" name="Draft Bridge" sheetId="10" r:id="Rc3b63bf561924bf0"/>
    <x:sheet xmlns:r="http://schemas.openxmlformats.org/officeDocument/2006/relationships" name="Gate Audit" sheetId="11" r:id="Rccc825aa34d94fba"/>
    <x:sheet xmlns:r="http://schemas.openxmlformats.org/officeDocument/2006/relationships" name="Sources" sheetId="12" r:id="Rd12b4cf43d0246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"/>
    <x:numFmt numFmtId="201" formatCode="0.0"/>
    <x:numFmt numFmtId="202" formatCode="yyyy-mm-dd"/>
    <x:numFmt numFmtId="203" formatCode="0"/>
    <x:numFmt numFmtId="204" formatCode="0.000"/>
    <x:numFmt numFmtId="205" formatCode="0.0000"/>
    <x:numFmt numFmtId="206" formatCode="0.0%"/>
  </x:numFmts>
  <x:fonts count="1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23B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223B"/>
      <x:name val="Aptos"/>
    </x:font>
    <x:font>
      <x:b/>
      <x:sz val="11"/>
      <x:color rgb="FFFFFFFF"/>
      <x:name val="Aptos"/>
    </x:font>
    <x:font>
      <x:i/>
      <x:sz val="11"/>
      <x:color rgb="FF667085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9"/>
      <x:color rgb="FF17223B"/>
      <x:name val="Aptos"/>
    </x:font>
    <x:font>
      <x:b/>
      <x:sz val="11"/>
      <x:color rgb="FFB423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223B"/>
      </x:patternFill>
    </x:fill>
    <x:fill>
      <x:patternFill patternType="solid">
        <x:fgColor rgb="FFEAF0FF"/>
      </x:patternFill>
    </x:fill>
    <x:fill>
      <x:patternFill patternType="solid">
        <x:fgColor rgb="FF2D5BFF"/>
      </x:patternFill>
    </x:fill>
    <x:fill>
      <x:patternFill patternType="solid">
        <x:fgColor rgb="FFE8F5E9"/>
      </x:patternFill>
    </x:fill>
    <x:fill>
      <x:patternFill patternType="solid">
        <x:fgColor rgb="FFFFF4CE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FDECEC"/>
      </x:patternFill>
    </x:fill>
  </x:fills>
  <x:borders count="3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E4E7EC"/>
      </x:left>
      <x:right style="thin">
        <x:color rgb="FFE4E7EC"/>
      </x:right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7" fillId="4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2" fontId="0" fillId="0" borderId="2" xfId="0" applyNumberFormat="1" applyFont="1" applyFill="1" applyBorder="1"/>
    <x:xf numFmtId="203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2" xfId="0" applyNumberFormat="1" applyFont="1" applyFill="1" applyBorder="1"/>
    <x:xf numFmtId="0" fontId="0" fillId="8" borderId="2" xfId="0" applyNumberFormat="1" applyFont="1" applyFill="1" applyBorder="1"/>
    <x:xf numFmtId="202" fontId="0" fillId="8" borderId="2" xfId="0" applyNumberFormat="1" applyFont="1" applyFill="1" applyBorder="1"/>
    <x:xf numFmtId="203" fontId="0" fillId="8" borderId="2" xfId="0" applyNumberFormat="1" applyFont="1" applyFill="1" applyBorder="1"/>
    <x:xf numFmtId="0" fontId="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2" xfId="0" applyNumberFormat="1" applyFont="1" applyFill="1" applyBorder="1"/>
    <x:xf numFmtId="201" fontId="0" fillId="6" borderId="2" xfId="0" applyNumberFormat="1" applyFont="1" applyFill="1" applyBorder="1"/>
    <x:xf numFmtId="201" fontId="0" fillId="7" borderId="2" xfId="0" applyNumberFormat="1" applyFont="1" applyFill="1" applyBorder="1"/>
    <x:xf numFmtId="0" fontId="0" fillId="7" borderId="2" xfId="0" applyNumberFormat="1" applyFont="1" applyFill="1" applyBorder="1"/>
    <x:xf numFmtId="0" fontId="9" fillId="4" borderId="1" xfId="0" applyNumberFormat="1" applyFont="1" applyFill="1" applyBorder="1" applyAlignment="1">
      <x:alignment vertical="center" wrapText="1"/>
    </x:xf>
    <x:xf numFmtId="0" fontId="10" fillId="8" borderId="2" xfId="0" applyNumberFormat="1" applyFont="1" applyFill="1" applyBorder="1"/>
    <x:xf numFmtId="202" fontId="10" fillId="8" borderId="2" xfId="0" applyNumberFormat="1" applyFont="1" applyFill="1" applyBorder="1"/>
    <x:xf numFmtId="203" fontId="10" fillId="8" borderId="2" xfId="0" applyNumberFormat="1" applyFont="1" applyFill="1" applyBorder="1"/>
    <x:xf numFmtId="0" fontId="1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6" borderId="2" xfId="0" applyNumberFormat="1" applyFont="1" applyFill="1" applyBorder="1"/>
    <x:xf numFmtId="201" fontId="10" fillId="6" borderId="2" xfId="0" applyNumberFormat="1" applyFont="1" applyFill="1" applyBorder="1"/>
    <x:xf numFmtId="201" fontId="10" fillId="7" borderId="2" xfId="0" applyNumberFormat="1" applyFont="1" applyFill="1" applyBorder="1"/>
    <x:xf numFmtId="0" fontId="10" fillId="7" borderId="2" xfId="0" applyNumberFormat="1" applyFont="1" applyFill="1" applyBorder="1"/>
    <x:xf numFmtId="202" fontId="0" fillId="0" borderId="1" xfId="0" applyNumberFormat="1" applyFont="1" applyFill="1" applyBorder="1"/>
    <x:xf numFmtId="202" fontId="0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vertical="center" wrapText="1"/>
    </x:xf>
    <x:xf numFmtId="201" fontId="2" fillId="3" borderId="1" xfId="0" applyNumberFormat="1" applyFont="1" applyFill="1" applyBorder="1"/>
    <x:xf numFmtId="0" fontId="2" fillId="5" borderId="1" xfId="0" applyNumberFormat="1" applyFont="1" applyFill="1" applyBorder="1"/>
    <x:xf numFmtId="0" fontId="0" fillId="6" borderId="1" xfId="0" applyNumberFormat="1" applyFont="1" applyFill="1" applyBorder="1" applyAlignment="1">
      <x:alignment vertical="center"/>
    </x:xf>
    <x:xf numFmtId="201" fontId="0" fillId="7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201" fontId="2" fillId="3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7" borderId="1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 applyAlignment="1">
      <x:alignment wrapText="1"/>
    </x:xf>
    <x:xf numFmtId="201" fontId="11" fillId="3" borderId="1" xfId="0" applyNumberFormat="1" applyFont="1" applyFill="1" applyBorder="1" applyAlignment="1">
      <x:alignment wrapText="1"/>
    </x:xf>
    <x:xf numFmtId="0" fontId="11" fillId="5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center" wrapText="1"/>
    </x:xf>
    <x:xf numFmtId="202" fontId="10" fillId="0" borderId="1" xfId="0" applyNumberFormat="1" applyFont="1" applyFill="1" applyBorder="1" applyAlignment="1">
      <x:alignment vertical="center" wrapText="1"/>
    </x:xf>
    <x:xf numFmtId="0" fontId="10" fillId="6" borderId="1" xfId="0" applyNumberFormat="1" applyFont="1" applyFill="1" applyBorder="1" applyAlignment="1">
      <x:alignment vertical="center" wrapText="1"/>
    </x:xf>
    <x:xf numFmtId="201" fontId="10" fillId="0" borderId="1" xfId="0" applyNumberFormat="1" applyFont="1" applyFill="1" applyBorder="1" applyAlignment="1">
      <x:alignment vertical="center" wrapText="1"/>
    </x:xf>
    <x:xf numFmtId="201" fontId="10" fillId="7" borderId="1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 applyAlignment="1">
      <x:alignment wrapText="1"/>
    </x:xf>
    <x:xf numFmtId="204" fontId="0" fillId="6" borderId="1" xfId="0" applyNumberFormat="1" applyFont="1" applyFill="1" applyBorder="1" applyAlignment="1">
      <x:alignment vertical="center"/>
    </x:xf>
    <x:xf numFmtId="205" fontId="0" fillId="6" borderId="1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 applyAlignment="1">
      <x:alignment vertical="center"/>
    </x:xf>
    <x:xf numFmtId="204" fontId="0" fillId="0" borderId="1" xfId="0" applyNumberFormat="1" applyFont="1" applyFill="1" applyBorder="1" applyAlignment="1">
      <x:alignment vertical="center"/>
    </x:xf>
    <x:xf numFmtId="204" fontId="0" fillId="7" borderId="1" xfId="0" applyNumberFormat="1" applyFont="1" applyFill="1" applyBorder="1" applyAlignment="1">
      <x:alignment vertical="center"/>
    </x:xf>
    <x:xf numFmtId="206" fontId="0" fillId="0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4" fontId="0" fillId="6" borderId="1" xfId="0" applyNumberFormat="1" applyFont="1" applyFill="1" applyBorder="1" applyAlignment="1">
      <x:alignment vertical="center" wrapText="1"/>
    </x:xf>
    <x:xf numFmtId="205" fontId="0" fillId="6" borderId="1" xfId="0" applyNumberFormat="1" applyFont="1" applyFill="1" applyBorder="1" applyAlignment="1">
      <x:alignment vertical="center" wrapText="1"/>
    </x:xf>
    <x:xf numFmtId="204" fontId="0" fillId="0" borderId="1" xfId="0" applyNumberFormat="1" applyFont="1" applyFill="1" applyBorder="1" applyAlignment="1">
      <x:alignment vertical="center" wrapText="1"/>
    </x:xf>
    <x:xf numFmtId="204" fontId="0" fillId="7" borderId="1" xfId="0" applyNumberFormat="1" applyFont="1" applyFill="1" applyBorder="1" applyAlignment="1">
      <x:alignment vertical="center" wrapText="1"/>
    </x:xf>
    <x:xf numFmtId="206" fontId="0" fillId="0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4" fontId="10" fillId="6" borderId="1" xfId="0" applyNumberFormat="1" applyFont="1" applyFill="1" applyBorder="1" applyAlignment="1">
      <x:alignment vertical="center" wrapText="1"/>
    </x:xf>
    <x:xf numFmtId="205" fontId="10" fillId="6" borderId="1" xfId="0" applyNumberFormat="1" applyFont="1" applyFill="1" applyBorder="1" applyAlignment="1">
      <x:alignment vertical="center" wrapText="1"/>
    </x:xf>
    <x:xf numFmtId="204" fontId="10" fillId="0" borderId="1" xfId="0" applyNumberFormat="1" applyFont="1" applyFill="1" applyBorder="1" applyAlignment="1">
      <x:alignment vertical="center" wrapText="1"/>
    </x:xf>
    <x:xf numFmtId="204" fontId="10" fillId="7" borderId="1" xfId="0" applyNumberFormat="1" applyFont="1" applyFill="1" applyBorder="1" applyAlignment="1">
      <x:alignment vertical="center" wrapText="1"/>
    </x:xf>
    <x:xf numFmtId="206" fontId="10" fillId="0" borderId="1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/>
    <x:xf numFmtId="0" fontId="10" fillId="0" borderId="0" xfId="0" applyNumberFormat="1" applyFont="1" applyFill="1" applyBorder="1"/>
    <x:xf numFmtId="0" fontId="10" fillId="0" borderId="1" xfId="0" applyNumberFormat="1" applyFont="1" applyFill="1" applyBorder="1" applyAlignment="1">
      <x:alignment vertical="center"/>
    </x:xf>
    <x:xf numFmtId="202" fontId="10" fillId="0" borderId="1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47b0a4125b4f07" /><Relationship Type="http://schemas.openxmlformats.org/officeDocument/2006/relationships/theme" Target="/xl/theme/theme1.xml" Id="Rd98f264166bd4c8d" /><Relationship Type="http://schemas.microsoft.com/office/2022/11/relationships/FeaturePropertyBag" Target="/xl/featurePropertyBag/featurePropertyBag.xml" Id="R947b2b809b8c4e3d" /><Relationship Type="http://schemas.openxmlformats.org/officeDocument/2006/relationships/sharedStrings" Target="/xl/sharedStrings.xml" Id="Rdb3600ef72444ac8" /><Relationship Type="http://schemas.openxmlformats.org/officeDocument/2006/relationships/worksheet" Target="/xl/worksheets/sheet1.xml" Id="R66e4bc41d4574772" /><Relationship Type="http://schemas.openxmlformats.org/officeDocument/2006/relationships/worksheet" Target="/xl/worksheets/sheet2.xml" Id="Re49770cebfec4529" /><Relationship Type="http://schemas.openxmlformats.org/officeDocument/2006/relationships/worksheet" Target="/xl/worksheets/sheet3.xml" Id="Rabe5bfb32a504391" /><Relationship Type="http://schemas.openxmlformats.org/officeDocument/2006/relationships/worksheet" Target="/xl/worksheets/sheet4.xml" Id="R596ce19fcc1a4e0d" /><Relationship Type="http://schemas.openxmlformats.org/officeDocument/2006/relationships/worksheet" Target="/xl/worksheets/sheet5.xml" Id="R2d2845ce88344b83" /><Relationship Type="http://schemas.openxmlformats.org/officeDocument/2006/relationships/worksheet" Target="/xl/worksheets/sheet6.xml" Id="R77d740f6f72c40ba" /><Relationship Type="http://schemas.openxmlformats.org/officeDocument/2006/relationships/worksheet" Target="/xl/worksheets/sheet7.xml" Id="R6ebb0f3f71f2402e" /><Relationship Type="http://schemas.openxmlformats.org/officeDocument/2006/relationships/worksheet" Target="/xl/worksheets/sheet8.xml" Id="Rb97c200580d040c1" /><Relationship Type="http://schemas.openxmlformats.org/officeDocument/2006/relationships/worksheet" Target="/xl/worksheets/sheet9.xml" Id="R4298a8c729b34551" /><Relationship Type="http://schemas.openxmlformats.org/officeDocument/2006/relationships/worksheet" Target="/xl/worksheets/sheet10.xml" Id="Rc3b63bf561924bf0" /><Relationship Type="http://schemas.openxmlformats.org/officeDocument/2006/relationships/worksheet" Target="/xl/worksheets/sheet11.xml" Id="Rccc825aa34d94fba" /><Relationship Type="http://schemas.openxmlformats.org/officeDocument/2006/relationships/worksheet" Target="/xl/worksheets/sheet12.xml" Id="Rd12b4cf43d02469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ameLedgerTable" displayName="GameLedgerTable" ref="A5:Z87" headerRowCount="1" totalsRowCount="0" totalsRowShown="0">
  <x:tableColumns count="26">
    <x:tableColumn id="1" name="Game"/>
    <x:tableColumn id="2" name="Date"/>
    <x:tableColumn id="3" name="Site"/>
    <x:tableColumn id="4" name="Opponent"/>
    <x:tableColumn id="5" name="Actual"/>
    <x:tableColumn id="6" name="ATL Pts"/>
    <x:tableColumn id="7" name="Opp Pts"/>
    <x:tableColumn id="8" name="Margin"/>
    <x:tableColumn id="9" name="OT periods"/>
    <x:tableColumn id="10" name="Team min"/>
    <x:tableColumn id="11" name="Cum W"/>
    <x:tableColumn id="12" name="Cum L"/>
    <x:tableColumn id="13" name="Rest days"/>
    <x:tableColumn id="14" name="B2B"/>
    <x:tableColumn id="15" name="Contact"/>
    <x:tableColumn id="16" name="Story selected"/>
    <x:tableColumn id="17" name="Protagonist status"/>
    <x:tableColumn id="18" name="Protagonist min"/>
    <x:tableColumn id="19" name="Spellman donor"/>
    <x:tableColumn id="20" name="Named receiver pool"/>
    <x:tableColumn id="21" name="Minute check"/>
    <x:tableColumn id="22" name="Outcome status"/>
    <x:tableColumn id="23" name="CF result"/>
    <x:tableColumn id="24" name="Downstream"/>
    <x:tableColumn id="25" name="Source ID"/>
    <x:tableColumn id="26" name="Event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tlReceiverAllocationTable" displayName="AtlReceiverAllocationTable" ref="A6:R37" headerRowCount="1" totalsRowCount="0" totalsRowShown="0">
  <x:tableColumns count="18">
    <x:tableColumn id="1" name="Alloc"/>
    <x:tableColumn id="2" name="Game"/>
    <x:tableColumn id="3" name="Date"/>
    <x:tableColumn id="4" name="Opponent"/>
    <x:tableColumn id="5" name="Event ID"/>
    <x:tableColumn id="6" name="Phase"/>
    <x:tableColumn id="7" name="Receiver"/>
    <x:tableColumn id="8" name="Box status"/>
    <x:tableColumn id="9" name="Actual MIN"/>
    <x:tableColumn id="10" name="Observed max"/>
    <x:tableColumn id="11" name="Capacity"/>
    <x:tableColumn id="12" name="Allocated"/>
    <x:tableColumn id="13" name="Adjusted MIN"/>
    <x:tableColumn id="14" name="Date allocated"/>
    <x:tableColumn id="15" name="Game pool"/>
    <x:tableColumn id="16" name="Date balance"/>
    <x:tableColumn id="17" name="Source ID"/>
    <x:tableColumn id="18" name="Eviden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tlReceiverSummaryTable" displayName="AtlReceiverSummaryTable" ref="A42:J47" headerRowCount="1" totalsRowCount="0" totalsRowShown="0">
  <x:tableColumns count="10">
    <x:tableColumn id="1" name="Receiver"/>
    <x:tableColumn id="2" name="Pos"/>
    <x:tableColumn id="3" name="Actual GP"/>
    <x:tableColumn id="4" name="Actual MIN"/>
    <x:tableColumn id="5" name="Observed max"/>
    <x:tableColumn id="6" name="Allocated"/>
    <x:tableColumn id="7" name="Added GP"/>
    <x:tableColumn id="8" name="CF GP"/>
    <x:tableColumn id="9" name="CF MIN"/>
    <x:tableColumn id="10" name="Sourc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tlPriorPlayerTable" displayName="AtlPriorPlayerTable" ref="A18:V24" headerRowCount="1" totalsRowCount="0" totalsRowShown="0">
  <x:tableColumns count="22">
    <x:tableColumn id="1" name="Player"/>
    <x:tableColumn id="2" name="Role"/>
    <x:tableColumn id="3" name="Observed MIN"/>
    <x:tableColumn id="4" name="Observed BPM"/>
    <x:tableColumn id="5" name="Candidate mean"/>
    <x:tableColumn id="6" name="Weight"/>
    <x:tableColumn id="7" name="Candidate BASE"/>
    <x:tableColumn id="8" name="Band"/>
    <x:tableColumn id="9" name="Candidate LOW"/>
    <x:tableColumn id="10" name="Candidate HIGH"/>
    <x:tableColumn id="11" name="Observed PTS/36"/>
    <x:tableColumn id="12" name="Observed TRB/36"/>
    <x:tableColumn id="13" name="Observed AST/36"/>
    <x:tableColumn id="14" name="Observed STL/36"/>
    <x:tableColumn id="15" name="Observed BLK/36"/>
    <x:tableColumn id="16" name="Observed TOV/36"/>
    <x:tableColumn id="17" name="Observed PF/36"/>
    <x:tableColumn id="18" name="Observed TS%"/>
    <x:tableColumn id="19" name="Observed 3PA/36"/>
    <x:tableColumn id="20" name="Observed 3P%"/>
    <x:tableColumn id="21" name="Interpretation"/>
    <x:tableColumn id="22" name="Source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tlPriorMethodTable" displayName="AtlPriorMethodTable" ref="A29:E33" headerRowCount="1" totalsRowCount="0" totalsRowShown="0">
  <x:tableColumns count="5">
    <x:tableColumn id="1" name="Option"/>
    <x:tableColumn id="2" name="Method"/>
    <x:tableColumn id="3" name="Benefit"/>
    <x:tableColumn id="4" name="Fatal risk"/>
    <x:tableColumn id="5" name="Decis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easonMinutesTable" displayName="SeasonMinutesTable" ref="A5:L29" headerRowCount="1" totalsRowCount="0" totalsRowShown="0">
  <x:tableColumns count="12">
    <x:tableColumn id="1" name="Player / bridge"/>
    <x:tableColumn id="2" name="Pos"/>
    <x:tableColumn id="3" name="Actual GP"/>
    <x:tableColumn id="4" name="Actual GS"/>
    <x:tableColumn id="5" name="Actual min"/>
    <x:tableColumn id="6" name="Actual MPG"/>
    <x:tableColumn id="7" name="Pool"/>
    <x:tableColumn id="8" name="Removed actual"/>
    <x:tableColumn id="9" name="Added CF"/>
    <x:tableColumn id="10" name="Post-CF min"/>
    <x:tableColumn id="11" name="Balance"/>
    <x:tableColumn id="12" name="Source 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raftBoardTable" displayName="DraftBoardTable" ref="A6:K37" headerRowCount="1" totalsRowCount="0" totalsRowShown="0">
  <x:tableColumns count="11">
    <x:tableColumn id="1" name="Pick"/>
    <x:tableColumn id="2" name="Actual destination"/>
    <x:tableColumn id="3" name="Actual player"/>
    <x:tableColumn id="4" name="Actual trade/path"/>
    <x:tableColumn id="5" name="CF destination"/>
    <x:tableColumn id="6" name="CF player"/>
    <x:tableColumn id="7" name="Status"/>
    <x:tableColumn id="8" name="Incoming displaced"/>
    <x:tableColumn id="9" name="Decision reason"/>
    <x:tableColumn id="10" name="Downstream"/>
    <x:tableColumn id="11" name="Source I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pursAssignmentTable" displayName="SpursAssignmentTable" ref="A15:H34" headerRowCount="1" totalsRowCount="0" totalsRowShown="0">
  <x:tableColumns count="8">
    <x:tableColumn id="1" name="Window"/>
    <x:tableColumn id="2" name="Assign date"/>
    <x:tableColumn id="3" name="Recall date"/>
    <x:tableColumn id="4" name="Calendar days"/>
    <x:tableColumn id="5" name="Entry"/>
    <x:tableColumn id="6" name="Exit"/>
    <x:tableColumn id="7" name="Contract/status"/>
    <x:tableColumn id="8" name="Source I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scadeContractTable" displayName="CascadeContractTable" ref="A6:M12" headerRowCount="1" totalsRowCount="0" totalsRowShown="0">
  <x:tableColumns count="13">
    <x:tableColumn id="1" name="Team"/>
    <x:tableColumn id="2" name="World"/>
    <x:tableColumn id="3" name="Player"/>
    <x:tableColumn id="4" name="Pick"/>
    <x:tableColumn id="5" name="Contract layer"/>
    <x:tableColumn id="6" name="Development path"/>
    <x:tableColumn id="7" name="NBA GP"/>
    <x:tableColumn id="8" name="NBA MIN"/>
    <x:tableColumn id="9" name="G League GP"/>
    <x:tableColumn id="10" name="Transaction"/>
    <x:tableColumn id="11" name="Role status"/>
    <x:tableColumn id="12" name="Escalation trigger"/>
    <x:tableColumn id="13" name="Source ID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scadeDirectGameTable" displayName="CascadeDirectGameTable" ref="A15:L19" headerRowCount="1" totalsRowCount="0" totalsRowShown="0">
  <x:tableColumns count="12">
    <x:tableColumn id="1" name="Team"/>
    <x:tableColumn id="2" name="Date"/>
    <x:tableColumn id="3" name="Site"/>
    <x:tableColumn id="4" name="Actual"/>
    <x:tableColumn id="5" name="Team pts"/>
    <x:tableColumn id="6" name="ATL pts"/>
    <x:tableColumn id="7" name="Margin"/>
    <x:tableColumn id="8" name="Replaced player"/>
    <x:tableColumn id="9" name="Replaced MIN"/>
    <x:tableColumn id="10" name="CF contact"/>
    <x:tableColumn id="11" name="Outcome status"/>
    <x:tableColumn id="12" name="Source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ourceTable" displayName="SourceTable" ref="A4:D57" headerRowCount="1" totalsRowCount="0" totalsRowShown="0">
  <x:tableColumns count="4">
    <x:tableColumn id="1" name="ID"/>
    <x:tableColumn id="2" name="Source"/>
    <x:tableColumn id="3" name="Use"/>
    <x:tableColumn id="4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6df7dffba044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167b59003ab74d1f" /><Relationship Type="http://schemas.openxmlformats.org/officeDocument/2006/relationships/table" Target="/xl/tables/table3.xml" Id="R6ad73743a8524f4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c47e273da4149b8" /><Relationship Type="http://schemas.openxmlformats.org/officeDocument/2006/relationships/table" Target="/xl/tables/table5.xml" Id="Rdafd0d5731ff46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d07acd49e0445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71ec0bf8576405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e14e3aa64804ee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486d61d64c2043b7" /><Relationship Type="http://schemas.openxmlformats.org/officeDocument/2006/relationships/table" Target="/xl/tables/table10.xml" Id="Recda3b2e947e4d6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0e6c6a7f172646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25" t="str">
        <x:v>ATLANTA 2018-19 — CAUSALITY LEDGER / DRAFT BOARD v0.7</x:v>
      </x:c>
      <x:c r="B1" s="26"/>
      <x:c r="C1" s="26"/>
      <x:c r="D1" s="26"/>
      <x:c r="E1" s="26"/>
      <x:c r="F1" s="26"/>
      <x:c r="G1" s="26"/>
      <x:c r="H1" s="26"/>
    </x:row>
    <x:row r="2">
      <x:c r="A2" s="26"/>
      <x:c r="B2" s="26"/>
      <x:c r="C2" s="26"/>
      <x:c r="D2" s="26"/>
      <x:c r="E2" s="26"/>
      <x:c r="F2" s="26"/>
      <x:c r="G2" s="26"/>
      <x:c r="H2" s="26"/>
    </x:row>
    <x:row r="3">
      <x:c r="A3" s="26"/>
      <x:c r="B3" s="26"/>
      <x:c r="C3" s="26"/>
      <x:c r="D3" s="26"/>
      <x:c r="E3" s="26"/>
      <x:c r="F3" s="26"/>
      <x:c r="G3" s="26"/>
      <x:c r="H3" s="26"/>
    </x:row>
    <x:row r="4">
      <x:c r="A4" s="27" t="str">
        <x:v>Status</x:v>
      </x:c>
      <x:c r="B4" s="27" t="str">
        <x:v>PRIOR_METHOD_HOLD / OUTCOME_INPUTS_HOLD</x:v>
      </x:c>
      <x:c r="C4" s="27" t="str">
        <x:v>Canon</x:v>
      </x:c>
      <x:c r="D4" s="27" t="str">
        <x:v>v0.25 PARTIAL</x:v>
      </x:c>
      <x:c r="E4" s="27" t="str">
        <x:v>Manuscript</x:v>
      </x:c>
      <x:c r="F4" s="27" t="str">
        <x:v>BLOCKED</x:v>
      </x:c>
      <x:c r="G4" s="27" t="str">
        <x:v>Built</x:v>
      </x:c>
      <x:c r="H4" s="27" t="str">
        <x:v>2026-09-02</x:v>
      </x:c>
    </x:row>
    <x:row r="5">
      <x:c r="A5" s="26"/>
      <x:c r="B5" s="26"/>
      <x:c r="C5" s="26"/>
      <x:c r="D5" s="26"/>
      <x:c r="E5" s="26"/>
      <x:c r="F5" s="26"/>
      <x:c r="G5" s="26"/>
      <x:c r="H5" s="26"/>
    </x:row>
    <x:row r="6">
      <x:c r="A6" s="28" t="str">
        <x:v>Verified baseline</x:v>
      </x:c>
      <x:c r="B6" s="28" t="str">
        <x:v>Value</x:v>
      </x:c>
      <x:c r="C6" s="28" t="str">
        <x:v>Expected</x:v>
      </x:c>
      <x:c r="D6" s="28" t="str">
        <x:v>Check</x:v>
      </x:c>
      <x:c r="E6" s="28" t="str">
        <x:v>Simulation guardrail</x:v>
      </x:c>
      <x:c r="F6" s="28" t="str">
        <x:v>Low</x:v>
      </x:c>
      <x:c r="G6" s="28" t="str">
        <x:v>High</x:v>
      </x:c>
      <x:c r="H6" s="28" t="str">
        <x:v>Check</x:v>
      </x:c>
    </x:row>
    <x:row r="7">
      <x:c r="A7" s="29" t="str">
        <x:v>Regular-season games</x:v>
      </x:c>
      <x:c r="B7" s="29" t="n">
        <x:f>COUNTA('Game Ledger'!$A$6:$A$87)</x:f>
        <x:v>82</x:v>
      </x:c>
      <x:c r="C7" s="29" t="n">
        <x:v>82</x:v>
      </x:c>
      <x:c r="D7" s="30" t="str">
        <x:f>IF(B7=C7,"PASS","FAIL")</x:f>
        <x:v>PASS</x:v>
      </x:c>
      <x:c r="E7" s="29" t="str">
        <x:v>NBA games</x:v>
      </x:c>
      <x:c r="F7" s="29" t="n">
        <x:f>COUNTIF('Game Ledger'!$O$6:$O$87,"DIRECT")</x:f>
        <x:v>43</x:v>
      </x:c>
      <x:c r="G7" s="29" t="n">
        <x:v>43</x:v>
      </x:c>
      <x:c r="H7" s="30" t="str">
        <x:f>IF(F7=G7,"PASS","FAIL")</x:f>
        <x:v>PASS</x:v>
      </x:c>
    </x:row>
    <x:row r="8">
      <x:c r="A8" s="29" t="str">
        <x:v>Actual wins</x:v>
      </x:c>
      <x:c r="B8" s="29" t="n">
        <x:f>COUNTIF('Game Ledger'!$E$6:$E$87,"W")</x:f>
        <x:v>29</x:v>
      </x:c>
      <x:c r="C8" s="29" t="n">
        <x:v>29</x:v>
      </x:c>
      <x:c r="D8" s="30" t="str">
        <x:f>IF(B8=C8,"PASS","FAIL")</x:f>
        <x:v>PASS</x:v>
      </x:c>
      <x:c r="E8" s="29" t="str">
        <x:v>NBA MPG</x:v>
      </x:c>
      <x:c r="F8" s="31" t="n">
        <x:f>SUM('Game Ledger'!$R$6:$R$87)/F7</x:f>
        <x:v>14.462790697674421</x:v>
      </x:c>
      <x:c r="G8" s="31" t="n">
        <x:v>14.46</x:v>
      </x:c>
      <x:c r="H8" s="30" t="str">
        <x:f>IF(ABS(F8-G8)&lt;0.01,"PASS","FAIL")</x:f>
        <x:v>PASS</x:v>
      </x:c>
    </x:row>
    <x:row r="9">
      <x:c r="A9" s="29" t="str">
        <x:v>Actual losses</x:v>
      </x:c>
      <x:c r="B9" s="29" t="n">
        <x:f>COUNTIF('Game Ledger'!$E$6:$E$87,"L")</x:f>
        <x:v>53</x:v>
      </x:c>
      <x:c r="C9" s="29" t="n">
        <x:v>53</x:v>
      </x:c>
      <x:c r="D9" s="30" t="str">
        <x:f>IF(B9=C9,"PASS","FAIL")</x:f>
        <x:v>PASS</x:v>
      </x:c>
      <x:c r="E9" s="29" t="str">
        <x:v>NBA total minutes</x:v>
      </x:c>
      <x:c r="F9" s="32" t="n">
        <x:f>SUM('Game Ledger'!$R$6:$R$87)</x:f>
        <x:v>621.9000000000001</x:v>
      </x:c>
      <x:c r="G9" s="32" t="n">
        <x:v>621.9</x:v>
      </x:c>
      <x:c r="H9" s="30" t="str">
        <x:f>IF(ABS(F9-G9)&lt;0.01,"PASS","FAIL")</x:f>
        <x:v>PASS</x:v>
      </x:c>
    </x:row>
    <x:row r="10">
      <x:c r="A10" s="29" t="str">
        <x:v>Atlanta points</x:v>
      </x:c>
      <x:c r="B10" s="29" t="n">
        <x:f>SUM('Game Ledger'!$F$6:$F$87)</x:f>
        <x:v>9294</x:v>
      </x:c>
      <x:c r="C10" s="29" t="n">
        <x:v>9294</x:v>
      </x:c>
      <x:c r="D10" s="30" t="str">
        <x:f>IF(B10=C10,"PASS","FAIL")</x:f>
        <x:v>PASS</x:v>
      </x:c>
      <x:c r="E10" s="29" t="str">
        <x:v>Spellman donor balance</x:v>
      </x:c>
      <x:c r="F10" s="32" t="n">
        <x:f>SUM('Game Ledger'!$S$6:$S$87)</x:f>
        <x:v>804.9999999999999</x:v>
      </x:c>
      <x:c r="G10" s="32" t="n">
        <x:v>805</x:v>
      </x:c>
      <x:c r="H10" s="30" t="str">
        <x:f>IF(ABS(F10-G10)&lt;0.01,"PASS","FAIL")</x:f>
        <x:v>PASS</x:v>
      </x:c>
    </x:row>
    <x:row r="11">
      <x:c r="A11" s="29" t="str">
        <x:v>Game capacity minutes</x:v>
      </x:c>
      <x:c r="B11" s="29" t="n">
        <x:f>SUM('Game Ledger'!$J$6:$J$87)</x:f>
        <x:v>19855</x:v>
      </x:c>
      <x:c r="C11" s="29" t="n">
        <x:v>19855</x:v>
      </x:c>
      <x:c r="D11" s="30" t="str">
        <x:f>IF(B11=C11,"PASS","FAIL")</x:f>
        <x:v>PASS</x:v>
      </x:c>
      <x:c r="E11" s="29" t="str">
        <x:v>Erie games</x:v>
      </x:c>
      <x:c r="F11" s="29" t="n">
        <x:f>COUNTA('ATL Assignment'!$A$17:$A$22)</x:f>
        <x:v>6</x:v>
      </x:c>
      <x:c r="G11" s="29" t="n">
        <x:v>6</x:v>
      </x:c>
      <x:c r="H11" s="30" t="str">
        <x:f>IF(F11=G11,"PASS","FAIL")</x:f>
        <x:v>PASS</x:v>
      </x:c>
    </x:row>
    <x:row r="12">
      <x:c r="A12" s="29" t="str">
        <x:v>Published roster minutes</x:v>
      </x:c>
      <x:c r="B12" s="29" t="n">
        <x:f>SUM('Season Minutes'!$E$6:$E$27)</x:f>
        <x:v>19853</x:v>
      </x:c>
      <x:c r="C12" s="29" t="n">
        <x:v>19853</x:v>
      </x:c>
      <x:c r="D12" s="30" t="str">
        <x:f>IF(ABS(B12-C12)&lt;=2,"PASS (rounding)","FAIL")</x:f>
        <x:v>PASS (rounding)</x:v>
      </x:c>
      <x:c r="E12" s="29" t="str">
        <x:v>Named receiver balance</x:v>
      </x:c>
      <x:c r="F12" s="29" t="n">
        <x:f>'ATL Receivers'!F4</x:f>
        <x:v>0</x:v>
      </x:c>
      <x:c r="G12" s="29" t="n">
        <x:v>0</x:v>
      </x:c>
      <x:c r="H12" s="30" t="str">
        <x:f>IF(ABS(F12-G12)&lt;0.01,"PASS","FAIL")</x:f>
        <x:v>PASS</x:v>
      </x:c>
    </x:row>
    <x:row r="13">
      <x:c r="A13" s="26"/>
      <x:c r="B13" s="26"/>
      <x:c r="C13" s="26"/>
      <x:c r="D13" s="26"/>
      <x:c r="E13" s="26"/>
      <x:c r="F13" s="26"/>
      <x:c r="G13" s="26"/>
      <x:c r="H13" s="26"/>
    </x:row>
    <x:row r="14">
      <x:c r="A14" s="27" t="str">
        <x:v>Decision boundary</x:v>
      </x:c>
      <x:c r="B14" s="27"/>
      <x:c r="C14" s="27"/>
      <x:c r="D14" s="27"/>
      <x:c r="E14" s="27"/>
      <x:c r="F14" s="27"/>
      <x:c r="G14" s="27"/>
      <x:c r="H14" s="27"/>
    </x:row>
    <x:row r="15">
      <x:c r="A15" s="29" t="str">
        <x:v>1</x:v>
      </x:c>
      <x:c r="B15" s="29" t="str">
        <x:v>All 82 games and the actual 29-53 record are immutable baseline data.</x:v>
      </x:c>
      <x:c r="C15" s="29"/>
      <x:c r="D15" s="29"/>
      <x:c r="E15" s="29"/>
      <x:c r="F15" s="29"/>
      <x:c r="G15" s="29"/>
      <x:c r="H15" s="29"/>
    </x:row>
    <x:row r="16">
      <x:c r="A16" s="29" t="str">
        <x:v>2</x:v>
      </x:c>
      <x:c r="B16" s="29" t="str">
        <x:v>Every game has at least ROSTER contact because the #30 replacement removes Spellman from Atlanta, even when the protagonist is inactive.</x:v>
      </x:c>
      <x:c r="C16" s="29"/>
      <x:c r="D16" s="29"/>
      <x:c r="E16" s="29"/>
      <x:c r="F16" s="29"/>
      <x:c r="G16" s="29"/>
      <x:c r="H16" s="29"/>
    </x:row>
    <x:row r="17">
      <x:c r="A17" s="29" t="str">
        <x:v>3</x:v>
      </x:c>
      <x:c r="B17" s="29" t="str">
        <x:v>Date-level rule is locked before outcomes: donor ≥7.0 minutes, cap at 16.0, except the Nov. 19 missed-rotation story cost.</x:v>
      </x:c>
      <x:c r="C17" s="29"/>
      <x:c r="D17" s="29"/>
      <x:c r="E17" s="29"/>
      <x:c r="F17" s="29"/>
      <x:c r="G17" s="29"/>
      <x:c r="H17" s="29"/>
    </x:row>
    <x:row r="18">
      <x:c r="A18" s="29" t="str">
        <x:v>4</x:v>
      </x:c>
      <x:c r="B18" s="29" t="str">
        <x:v>The San Antonio, Dallas, and Denver replacement contract layers are closed. Each CF rookie starts inside the displaced player's team-specific role, not his old-team minutes.</x:v>
      </x:c>
      <x:c r="C18" s="29"/>
      <x:c r="D18" s="29"/>
      <x:c r="E18" s="29"/>
      <x:c r="F18" s="29"/>
      <x:c r="G18" s="29"/>
      <x:c r="H18" s="29"/>
    </x:row>
    <x:row r="19">
      <x:c r="A19" s="29" t="str">
        <x:v>5</x:v>
      </x:c>
      <x:c r="B19" s="29" t="str">
        <x:v>The 183.1-minute bridge is fully assigned by same-date evidence: Anderson 105.6, Poythress 48.6, Plumlee 17.5, Hamilton 11.4. Production and outcomes remain HOLD.</x:v>
      </x:c>
      <x:c r="C19" s="29"/>
      <x:c r="D19" s="29"/>
      <x:c r="E19" s="29"/>
      <x:c r="F19" s="29"/>
      <x:c r="G19" s="29"/>
      <x:c r="H19" s="29"/>
    </x:row>
    <x:row r="20">
      <x:c r="A20" s="33" t="str">
        <x:v>6 · Same-805-minute firewall, interaction=0, opposite LOW/HIGH comparator, and exact seed encoding are specified. Numeric production/fatigue/logit calibration remains HOLD.</x:v>
      </x:c>
      <x:c r="B20" s="26"/>
      <x:c r="C20" s="26"/>
      <x:c r="D20" s="26"/>
      <x:c r="E20" s="26"/>
      <x:c r="F20" s="26"/>
      <x:c r="G20" s="26"/>
      <x:c r="H20" s="26"/>
    </x:row>
    <x:row r="21">
      <x:c r="A21" s="26"/>
      <x:c r="B21" s="26"/>
      <x:c r="C21" s="26"/>
      <x:c r="D21" s="26"/>
      <x:c r="E21" s="26"/>
      <x:c r="F21" s="26"/>
      <x:c r="G21" s="26"/>
      <x:c r="H21" s="26"/>
    </x:row>
    <x:row r="22" ht="34" customHeight="1">
      <x:c r="A22" s="34" t="str">
        <x:v>NEXT: calibrate shrinkage + fatigue + logit scale → audit pB/workload → fixed-hash outcome → opponent W/L → standings → lottery</x:v>
      </x:c>
      <x:c r="B22" s="26"/>
      <x:c r="C22" s="26"/>
      <x:c r="D22" s="26"/>
      <x:c r="E22" s="26"/>
      <x:c r="F22" s="26"/>
      <x:c r="G22" s="26"/>
      <x:c r="H22" s="26"/>
    </x:row>
  </x:sheetData>
  <x:mergeCells>
    <x:mergeCell ref="A1:H2"/>
    <x:mergeCell ref="A14:H14"/>
    <x:mergeCell ref="B15:H15"/>
    <x:mergeCell ref="B16:H16"/>
    <x:mergeCell ref="B17:H17"/>
    <x:mergeCell ref="B18:H18"/>
    <x:mergeCell ref="B19:H19"/>
    <x:mergeCell ref="A20:H20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4" max="4" width="22" hidden="0" customWidth="1"/>
    <x:col min="2" max="2" width="12" hidden="0" customWidth="1"/>
    <x:col min="15" max="15" width="12" hidden="0" customWidth="1"/>
    <x:col min="17" max="17" width="13" hidden="0" customWidth="1"/>
    <x:col min="22" max="22" width="16" hidden="0" customWidth="1"/>
    <x:col min="23" max="23" width="16" hidden="0" customWidth="1"/>
    <x:col min="24" max="24" width="27" hidden="0" customWidth="1"/>
    <x:col min="25" max="25" width="24" hidden="0" customWidth="1"/>
    <x:col min="26" max="26" width="22" hidden="0" customWidth="1"/>
    <x:col min="1" max="1" width="7" hidden="0" customWidth="1"/>
    <x:col min="3" max="3" width="7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6" max="16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</x:cols>
  <x:sheetData>
    <x:row r="1" ht="32" customHeight="1">
      <x:c r="A1" s="3" t="str">
        <x:v>82-GAME IMMUTABLE BASELINE + COUNTERFACTUAL CONTROL FIELDS</x:v>
      </x:c>
    </x:row>
    <x:row r="3">
      <x:c r="A3" s="36" t="str">
        <x:v>Blue = official baseline · Yellow = future inputs · Gray = formula/control fields · All counterfactual outcomes remain HOLD</x:v>
      </x:c>
    </x:row>
    <x:row r="5">
      <x:c r="A5" s="53" t="str">
        <x:v>Game</x:v>
      </x:c>
      <x:c r="B5" s="53" t="str">
        <x:v>Date</x:v>
      </x:c>
      <x:c r="C5" s="53" t="str">
        <x:v>Site</x:v>
      </x:c>
      <x:c r="D5" s="53" t="str">
        <x:v>Opponent</x:v>
      </x:c>
      <x:c r="E5" s="53" t="str">
        <x:v>Actual</x:v>
      </x:c>
      <x:c r="F5" s="53" t="str">
        <x:v>ATL Pts</x:v>
      </x:c>
      <x:c r="G5" s="53" t="str">
        <x:v>Opp Pts</x:v>
      </x:c>
      <x:c r="H5" s="53" t="str">
        <x:v>Margin</x:v>
      </x:c>
      <x:c r="I5" s="53" t="str">
        <x:v>OT periods</x:v>
      </x:c>
      <x:c r="J5" s="53" t="str">
        <x:v>Team min</x:v>
      </x:c>
      <x:c r="K5" s="53" t="str">
        <x:v>Cum W</x:v>
      </x:c>
      <x:c r="L5" s="53" t="str">
        <x:v>Cum L</x:v>
      </x:c>
      <x:c r="M5" s="53" t="str">
        <x:v>Rest days</x:v>
      </x:c>
      <x:c r="N5" s="53" t="str">
        <x:v>B2B</x:v>
      </x:c>
      <x:c r="O5" s="53" t="str">
        <x:v>Contact</x:v>
      </x:c>
      <x:c r="P5" s="53" t="str">
        <x:v>Story selected</x:v>
      </x:c>
      <x:c r="Q5" s="53" t="str">
        <x:v>Protagonist status</x:v>
      </x:c>
      <x:c r="R5" s="53" t="str">
        <x:v>Protagonist min</x:v>
      </x:c>
      <x:c r="S5" s="53" t="str">
        <x:v>Spellman donor</x:v>
      </x:c>
      <x:c r="T5" s="53" t="str">
        <x:v>Named receiver pool</x:v>
      </x:c>
      <x:c r="U5" s="53" t="str">
        <x:v>Minute check</x:v>
      </x:c>
      <x:c r="V5" s="53" t="str">
        <x:v>Outcome status</x:v>
      </x:c>
      <x:c r="W5" s="53" t="str">
        <x:v>CF result</x:v>
      </x:c>
      <x:c r="X5" s="53" t="str">
        <x:v>Downstream</x:v>
      </x:c>
      <x:c r="Y5" s="53" t="str">
        <x:v>Source ID</x:v>
      </x:c>
      <x:c r="Z5" s="53" t="str">
        <x:v>Event ID</x:v>
      </x:c>
    </x:row>
    <x:row r="6">
      <x:c r="A6" s="54" t="n">
        <x:v>1</x:v>
      </x:c>
      <x:c r="B6" s="55" t="n">
        <x:v>43390.5</x:v>
      </x:c>
      <x:c r="C6" s="54" t="str">
        <x:v>A</x:v>
      </x:c>
      <x:c r="D6" s="54" t="str">
        <x:v>New York Knicks</x:v>
      </x:c>
      <x:c r="E6" s="54" t="str">
        <x:v>L</x:v>
      </x:c>
      <x:c r="F6" s="54" t="n">
        <x:v>107</x:v>
      </x:c>
      <x:c r="G6" s="54" t="n">
        <x:v>126</x:v>
      </x:c>
      <x:c r="H6" s="54" t="n">
        <x:f>F6-G6</x:f>
        <x:v>-19</x:v>
      </x:c>
      <x:c r="I6" s="54" t="n">
        <x:v>0</x:v>
      </x:c>
      <x:c r="J6" s="54" t="n">
        <x:f>240+25*I6</x:f>
        <x:v>240</x:v>
      </x:c>
      <x:c r="K6" s="54" t="n">
        <x:f>IF(E6="W",1,0)</x:f>
        <x:v>0</x:v>
      </x:c>
      <x:c r="L6" s="54" t="n">
        <x:f>IF(E6="L",1,0)</x:f>
        <x:v>1</x:v>
      </x:c>
      <x:c r="M6" s="56" t="str">
        <x:f>""</x:f>
      </x:c>
      <x:c r="N6" s="54" t="b">
        <x:f>FALSE</x:f>
        <x:v>0</x:v>
      </x:c>
      <x:c r="O6" s="54" t="str">
        <x:v>DIRECT</x:v>
      </x:c>
      <x:c r="P6" s="57" t="b">
        <x:v>0</x:v>
      </x:c>
      <x:c r="Q6" s="58" t="str">
        <x:v>ACTIVE</x:v>
      </x:c>
      <x:c r="R6" s="59" t="n">
        <x:v>8.3</x:v>
      </x:c>
      <x:c r="S6" s="59" t="n">
        <x:v>8.3</x:v>
      </x:c>
      <x:c r="T6" s="59" t="n">
        <x:v>0</x:v>
      </x:c>
      <x:c r="U6" s="60" t="n">
        <x:f>S6-R6-T6</x:f>
        <x:v>0</x:v>
      </x:c>
      <x:c r="V6" s="61" t="str">
        <x:v>HOLD</x:v>
      </x:c>
      <x:c r="W6" s="61" t="str">
        <x:v>HOLD</x:v>
      </x:c>
      <x:c r="X6" s="61" t="str">
        <x:v>OUTCOME_INPUTS_PENDING</x:v>
      </x:c>
      <x:c r="Y6" s="61" t="str">
        <x:v>S01/S02/S03/S40/S44</x:v>
      </x:c>
      <x:c r="Z6" s="61" t="str">
        <x:v>ATL_2018_19_G001</x:v>
      </x:c>
    </x:row>
    <x:row r="7">
      <x:c r="A7" s="54" t="n">
        <x:v>2</x:v>
      </x:c>
      <x:c r="B7" s="55" t="n">
        <x:v>43392.5</x:v>
      </x:c>
      <x:c r="C7" s="54" t="str">
        <x:v>A</x:v>
      </x:c>
      <x:c r="D7" s="54" t="str">
        <x:v>Memphis Grizzlies</x:v>
      </x:c>
      <x:c r="E7" s="54" t="str">
        <x:v>L</x:v>
      </x:c>
      <x:c r="F7" s="54" t="n">
        <x:v>117</x:v>
      </x:c>
      <x:c r="G7" s="54" t="n">
        <x:v>131</x:v>
      </x:c>
      <x:c r="H7" s="54" t="n">
        <x:f>F7-G7</x:f>
        <x:v>-14</x:v>
      </x:c>
      <x:c r="I7" s="54" t="n">
        <x:v>0</x:v>
      </x:c>
      <x:c r="J7" s="54" t="n">
        <x:f>240+25*I7</x:f>
        <x:v>240</x:v>
      </x:c>
      <x:c r="K7" s="54" t="n">
        <x:f>K6+IF(E7="W",1,0)</x:f>
        <x:v>0</x:v>
      </x:c>
      <x:c r="L7" s="54" t="n">
        <x:f>L6+IF(E7="L",1,0)</x:f>
        <x:v>2</x:v>
      </x:c>
      <x:c r="M7" s="56" t="n">
        <x:f>B7-B6-1</x:f>
        <x:v>1</x:v>
      </x:c>
      <x:c r="N7" s="54" t="b">
        <x:f>M7=0</x:f>
        <x:v>0</x:v>
      </x:c>
      <x:c r="O7" s="54" t="str">
        <x:v>ROSTER</x:v>
      </x:c>
      <x:c r="P7" s="57" t="b">
        <x:v>0</x:v>
      </x:c>
      <x:c r="Q7" s="58" t="str">
        <x:v>DNP</x:v>
      </x:c>
      <x:c r="R7" s="59" t="n">
        <x:v>0</x:v>
      </x:c>
      <x:c r="S7" s="59" t="n">
        <x:v>0</x:v>
      </x:c>
      <x:c r="T7" s="59" t="n">
        <x:v>0</x:v>
      </x:c>
      <x:c r="U7" s="60" t="n">
        <x:f>S7-R7-T7</x:f>
        <x:v>0</x:v>
      </x:c>
      <x:c r="V7" s="61" t="str">
        <x:v>HOLD</x:v>
      </x:c>
      <x:c r="W7" s="61" t="str">
        <x:v>HOLD</x:v>
      </x:c>
      <x:c r="X7" s="61" t="str">
        <x:v>OUTCOME_INPUTS_PENDING</x:v>
      </x:c>
      <x:c r="Y7" s="61" t="str">
        <x:v>S01/S02/S03/S40/S44</x:v>
      </x:c>
      <x:c r="Z7" s="61" t="str">
        <x:v>ATL_2018_19_G002</x:v>
      </x:c>
    </x:row>
    <x:row r="8">
      <x:c r="A8" s="54" t="n">
        <x:v>3</x:v>
      </x:c>
      <x:c r="B8" s="55" t="n">
        <x:v>43394.5</x:v>
      </x:c>
      <x:c r="C8" s="54" t="str">
        <x:v>A</x:v>
      </x:c>
      <x:c r="D8" s="54" t="str">
        <x:v>Cleveland Cavaliers</x:v>
      </x:c>
      <x:c r="E8" s="54" t="str">
        <x:v>W</x:v>
      </x:c>
      <x:c r="F8" s="54" t="n">
        <x:v>133</x:v>
      </x:c>
      <x:c r="G8" s="54" t="n">
        <x:v>111</x:v>
      </x:c>
      <x:c r="H8" s="54" t="n">
        <x:f>F8-G8</x:f>
        <x:v>22</x:v>
      </x:c>
      <x:c r="I8" s="54" t="n">
        <x:v>0</x:v>
      </x:c>
      <x:c r="J8" s="54" t="n">
        <x:f>240+25*I8</x:f>
        <x:v>240</x:v>
      </x:c>
      <x:c r="K8" s="54" t="n">
        <x:f>K7+IF(E8="W",1,0)</x:f>
        <x:v>1</x:v>
      </x:c>
      <x:c r="L8" s="54" t="n">
        <x:f>L7+IF(E8="L",1,0)</x:f>
        <x:v>2</x:v>
      </x:c>
      <x:c r="M8" s="56" t="n">
        <x:f>B8-B7-1</x:f>
        <x:v>1</x:v>
      </x:c>
      <x:c r="N8" s="54" t="b">
        <x:f>M8=0</x:f>
        <x:v>0</x:v>
      </x:c>
      <x:c r="O8" s="54" t="str">
        <x:v>DIRECT</x:v>
      </x:c>
      <x:c r="P8" s="57" t="b">
        <x:v>0</x:v>
      </x:c>
      <x:c r="Q8" s="58" t="str">
        <x:v>ACTIVE</x:v>
      </x:c>
      <x:c r="R8" s="59" t="n">
        <x:v>16</x:v>
      </x:c>
      <x:c r="S8" s="59" t="n">
        <x:v>23.8</x:v>
      </x:c>
      <x:c r="T8" s="59" t="n">
        <x:v>7.8</x:v>
      </x:c>
      <x:c r="U8" s="60" t="n">
        <x:f>S8-R8-T8</x:f>
        <x:v>8.881784197001252e-16</x:v>
      </x:c>
      <x:c r="V8" s="61" t="str">
        <x:v>HOLD</x:v>
      </x:c>
      <x:c r="W8" s="61" t="str">
        <x:v>HOLD</x:v>
      </x:c>
      <x:c r="X8" s="61" t="str">
        <x:v>OUTCOME_INPUTS_PENDING</x:v>
      </x:c>
      <x:c r="Y8" s="61" t="str">
        <x:v>S01/S02/S03/S40/S44</x:v>
      </x:c>
      <x:c r="Z8" s="61" t="str">
        <x:v>ATL_2018_19_G003</x:v>
      </x:c>
    </x:row>
    <x:row r="9">
      <x:c r="A9" s="54" t="n">
        <x:v>4</x:v>
      </x:c>
      <x:c r="B9" s="55" t="n">
        <x:v>43397.5</x:v>
      </x:c>
      <x:c r="C9" s="54" t="str">
        <x:v>H</x:v>
      </x:c>
      <x:c r="D9" s="54" t="str">
        <x:v>Dallas Mavericks</x:v>
      </x:c>
      <x:c r="E9" s="54" t="str">
        <x:v>W</x:v>
      </x:c>
      <x:c r="F9" s="54" t="n">
        <x:v>111</x:v>
      </x:c>
      <x:c r="G9" s="54" t="n">
        <x:v>104</x:v>
      </x:c>
      <x:c r="H9" s="54" t="n">
        <x:f>F9-G9</x:f>
        <x:v>7</x:v>
      </x:c>
      <x:c r="I9" s="54" t="n">
        <x:v>0</x:v>
      </x:c>
      <x:c r="J9" s="54" t="n">
        <x:f>240+25*I9</x:f>
        <x:v>240</x:v>
      </x:c>
      <x:c r="K9" s="54" t="n">
        <x:f>K8+IF(E9="W",1,0)</x:f>
        <x:v>2</x:v>
      </x:c>
      <x:c r="L9" s="54" t="n">
        <x:f>L8+IF(E9="L",1,0)</x:f>
        <x:v>2</x:v>
      </x:c>
      <x:c r="M9" s="56" t="n">
        <x:f>B9-B8-1</x:f>
        <x:v>2</x:v>
      </x:c>
      <x:c r="N9" s="54" t="b">
        <x:f>M9=0</x:f>
        <x:v>0</x:v>
      </x:c>
      <x:c r="O9" s="54" t="str">
        <x:v>DIRECT</x:v>
      </x:c>
      <x:c r="P9" s="57" t="b">
        <x:v>0</x:v>
      </x:c>
      <x:c r="Q9" s="58" t="str">
        <x:v>ACTIVE</x:v>
      </x:c>
      <x:c r="R9" s="59" t="n">
        <x:v>15.7</x:v>
      </x:c>
      <x:c r="S9" s="59" t="n">
        <x:v>15.7</x:v>
      </x:c>
      <x:c r="T9" s="59" t="n">
        <x:v>0</x:v>
      </x:c>
      <x:c r="U9" s="60" t="n">
        <x:f>S9-R9-T9</x:f>
        <x:v>0</x:v>
      </x:c>
      <x:c r="V9" s="61" t="str">
        <x:v>HOLD</x:v>
      </x:c>
      <x:c r="W9" s="61" t="str">
        <x:v>HOLD</x:v>
      </x:c>
      <x:c r="X9" s="61" t="str">
        <x:v>OUTCOME_INPUTS_PENDING</x:v>
      </x:c>
      <x:c r="Y9" s="61" t="str">
        <x:v>S01/S02/S03/S40/S44</x:v>
      </x:c>
      <x:c r="Z9" s="61" t="str">
        <x:v>ATL_2018_19_G004</x:v>
      </x:c>
    </x:row>
    <x:row r="10">
      <x:c r="A10" s="54" t="n">
        <x:v>5</x:v>
      </x:c>
      <x:c r="B10" s="55" t="n">
        <x:v>43400.5</x:v>
      </x:c>
      <x:c r="C10" s="54" t="str">
        <x:v>H</x:v>
      </x:c>
      <x:c r="D10" s="54" t="str">
        <x:v>Chicago Bulls</x:v>
      </x:c>
      <x:c r="E10" s="54" t="str">
        <x:v>L</x:v>
      </x:c>
      <x:c r="F10" s="54" t="n">
        <x:v>85</x:v>
      </x:c>
      <x:c r="G10" s="54" t="n">
        <x:v>97</x:v>
      </x:c>
      <x:c r="H10" s="54" t="n">
        <x:f>F10-G10</x:f>
        <x:v>-12</x:v>
      </x:c>
      <x:c r="I10" s="54" t="n">
        <x:v>0</x:v>
      </x:c>
      <x:c r="J10" s="54" t="n">
        <x:f>240+25*I10</x:f>
        <x:v>240</x:v>
      </x:c>
      <x:c r="K10" s="54" t="n">
        <x:f>K9+IF(E10="W",1,0)</x:f>
        <x:v>2</x:v>
      </x:c>
      <x:c r="L10" s="54" t="n">
        <x:f>L9+IF(E10="L",1,0)</x:f>
        <x:v>3</x:v>
      </x:c>
      <x:c r="M10" s="56" t="n">
        <x:f>B10-B9-1</x:f>
        <x:v>2</x:v>
      </x:c>
      <x:c r="N10" s="54" t="b">
        <x:f>M10=0</x:f>
        <x:v>0</x:v>
      </x:c>
      <x:c r="O10" s="54" t="str">
        <x:v>DIRECT</x:v>
      </x:c>
      <x:c r="P10" s="57" t="b">
        <x:v>0</x:v>
      </x:c>
      <x:c r="Q10" s="58" t="str">
        <x:v>ACTIVE</x:v>
      </x:c>
      <x:c r="R10" s="59" t="n">
        <x:v>14.7</x:v>
      </x:c>
      <x:c r="S10" s="59" t="n">
        <x:v>14.7</x:v>
      </x:c>
      <x:c r="T10" s="59" t="n">
        <x:v>0</x:v>
      </x:c>
      <x:c r="U10" s="60" t="n">
        <x:f>S10-R10-T10</x:f>
        <x:v>0</x:v>
      </x:c>
      <x:c r="V10" s="61" t="str">
        <x:v>HOLD</x:v>
      </x:c>
      <x:c r="W10" s="61" t="str">
        <x:v>HOLD</x:v>
      </x:c>
      <x:c r="X10" s="61" t="str">
        <x:v>OUTCOME_INPUTS_PENDING</x:v>
      </x:c>
      <x:c r="Y10" s="61" t="str">
        <x:v>S01/S02/S03/S40/S44</x:v>
      </x:c>
      <x:c r="Z10" s="61" t="str">
        <x:v>ATL_2018_19_G005</x:v>
      </x:c>
    </x:row>
    <x:row r="11">
      <x:c r="A11" s="54" t="n">
        <x:v>6</x:v>
      </x:c>
      <x:c r="B11" s="55" t="n">
        <x:v>43402.5</x:v>
      </x:c>
      <x:c r="C11" s="54" t="str">
        <x:v>A</x:v>
      </x:c>
      <x:c r="D11" s="54" t="str">
        <x:v>Philadelphia 76ers</x:v>
      </x:c>
      <x:c r="E11" s="54" t="str">
        <x:v>L</x:v>
      </x:c>
      <x:c r="F11" s="54" t="n">
        <x:v>92</x:v>
      </x:c>
      <x:c r="G11" s="54" t="n">
        <x:v>113</x:v>
      </x:c>
      <x:c r="H11" s="54" t="n">
        <x:f>F11-G11</x:f>
        <x:v>-21</x:v>
      </x:c>
      <x:c r="I11" s="54" t="n">
        <x:v>0</x:v>
      </x:c>
      <x:c r="J11" s="54" t="n">
        <x:f>240+25*I11</x:f>
        <x:v>240</x:v>
      </x:c>
      <x:c r="K11" s="54" t="n">
        <x:f>K10+IF(E11="W",1,0)</x:f>
        <x:v>2</x:v>
      </x:c>
      <x:c r="L11" s="54" t="n">
        <x:f>L10+IF(E11="L",1,0)</x:f>
        <x:v>4</x:v>
      </x:c>
      <x:c r="M11" s="56" t="n">
        <x:f>B11-B10-1</x:f>
        <x:v>1</x:v>
      </x:c>
      <x:c r="N11" s="54" t="b">
        <x:f>M11=0</x:f>
        <x:v>0</x:v>
      </x:c>
      <x:c r="O11" s="54" t="str">
        <x:v>DIRECT</x:v>
      </x:c>
      <x:c r="P11" s="57" t="b">
        <x:v>0</x:v>
      </x:c>
      <x:c r="Q11" s="58" t="str">
        <x:v>ACTIVE</x:v>
      </x:c>
      <x:c r="R11" s="59" t="n">
        <x:v>16</x:v>
      </x:c>
      <x:c r="S11" s="59" t="n">
        <x:v>23.3</x:v>
      </x:c>
      <x:c r="T11" s="59" t="n">
        <x:v>7.3</x:v>
      </x:c>
      <x:c r="U11" s="60" t="n">
        <x:f>S11-R11-T11</x:f>
        <x:v>8.881784197001252e-16</x:v>
      </x:c>
      <x:c r="V11" s="61" t="str">
        <x:v>HOLD</x:v>
      </x:c>
      <x:c r="W11" s="61" t="str">
        <x:v>HOLD</x:v>
      </x:c>
      <x:c r="X11" s="61" t="str">
        <x:v>OUTCOME_INPUTS_PENDING</x:v>
      </x:c>
      <x:c r="Y11" s="61" t="str">
        <x:v>S01/S02/S03/S40/S44</x:v>
      </x:c>
      <x:c r="Z11" s="61" t="str">
        <x:v>ATL_2018_19_G006</x:v>
      </x:c>
    </x:row>
    <x:row r="12">
      <x:c r="A12" s="54" t="n">
        <x:v>7</x:v>
      </x:c>
      <x:c r="B12" s="55" t="n">
        <x:v>43403.5</x:v>
      </x:c>
      <x:c r="C12" s="54" t="str">
        <x:v>A</x:v>
      </x:c>
      <x:c r="D12" s="54" t="str">
        <x:v>Cleveland Cavaliers</x:v>
      </x:c>
      <x:c r="E12" s="54" t="str">
        <x:v>L</x:v>
      </x:c>
      <x:c r="F12" s="54" t="n">
        <x:v>114</x:v>
      </x:c>
      <x:c r="G12" s="54" t="n">
        <x:v>136</x:v>
      </x:c>
      <x:c r="H12" s="54" t="n">
        <x:f>F12-G12</x:f>
        <x:v>-22</x:v>
      </x:c>
      <x:c r="I12" s="54" t="n">
        <x:v>0</x:v>
      </x:c>
      <x:c r="J12" s="54" t="n">
        <x:f>240+25*I12</x:f>
        <x:v>240</x:v>
      </x:c>
      <x:c r="K12" s="54" t="n">
        <x:f>K11+IF(E12="W",1,0)</x:f>
        <x:v>2</x:v>
      </x:c>
      <x:c r="L12" s="54" t="n">
        <x:f>L11+IF(E12="L",1,0)</x:f>
        <x:v>5</x:v>
      </x:c>
      <x:c r="M12" s="56" t="n">
        <x:f>B12-B11-1</x:f>
        <x:v>0</x:v>
      </x:c>
      <x:c r="N12" s="54" t="b">
        <x:f>M12=0</x:f>
        <x:v>1</x:v>
      </x:c>
      <x:c r="O12" s="54" t="str">
        <x:v>DIRECT</x:v>
      </x:c>
      <x:c r="P12" s="57" t="b">
        <x:v>0</x:v>
      </x:c>
      <x:c r="Q12" s="58" t="str">
        <x:v>ACTIVE</x:v>
      </x:c>
      <x:c r="R12" s="59" t="n">
        <x:v>16</x:v>
      </x:c>
      <x:c r="S12" s="59" t="n">
        <x:v>20.4</x:v>
      </x:c>
      <x:c r="T12" s="59" t="n">
        <x:v>4.4</x:v>
      </x:c>
      <x:c r="U12" s="60" t="n">
        <x:f>S12-R12-T12</x:f>
        <x:v>-1.7763568394002505e-15</x:v>
      </x:c>
      <x:c r="V12" s="61" t="str">
        <x:v>HOLD</x:v>
      </x:c>
      <x:c r="W12" s="61" t="str">
        <x:v>HOLD</x:v>
      </x:c>
      <x:c r="X12" s="61" t="str">
        <x:v>OUTCOME_INPUTS_PENDING</x:v>
      </x:c>
      <x:c r="Y12" s="61" t="str">
        <x:v>S01/S02/S03/S40/S44</x:v>
      </x:c>
      <x:c r="Z12" s="61" t="str">
        <x:v>ATL_2018_19_G007</x:v>
      </x:c>
    </x:row>
    <x:row r="13">
      <x:c r="A13" s="54" t="n">
        <x:v>8</x:v>
      </x:c>
      <x:c r="B13" s="55" t="n">
        <x:v>43405.5</x:v>
      </x:c>
      <x:c r="C13" s="54" t="str">
        <x:v>H</x:v>
      </x:c>
      <x:c r="D13" s="54" t="str">
        <x:v>Sacramento Kings</x:v>
      </x:c>
      <x:c r="E13" s="54" t="str">
        <x:v>L</x:v>
      </x:c>
      <x:c r="F13" s="54" t="n">
        <x:v>115</x:v>
      </x:c>
      <x:c r="G13" s="54" t="n">
        <x:v>146</x:v>
      </x:c>
      <x:c r="H13" s="54" t="n">
        <x:f>F13-G13</x:f>
        <x:v>-31</x:v>
      </x:c>
      <x:c r="I13" s="54" t="n">
        <x:v>0</x:v>
      </x:c>
      <x:c r="J13" s="54" t="n">
        <x:f>240+25*I13</x:f>
        <x:v>240</x:v>
      </x:c>
      <x:c r="K13" s="54" t="n">
        <x:f>K12+IF(E13="W",1,0)</x:f>
        <x:v>2</x:v>
      </x:c>
      <x:c r="L13" s="54" t="n">
        <x:f>L12+IF(E13="L",1,0)</x:f>
        <x:v>6</x:v>
      </x:c>
      <x:c r="M13" s="56" t="n">
        <x:f>B13-B12-1</x:f>
        <x:v>1</x:v>
      </x:c>
      <x:c r="N13" s="54" t="b">
        <x:f>M13=0</x:f>
        <x:v>0</x:v>
      </x:c>
      <x:c r="O13" s="54" t="str">
        <x:v>DIRECT</x:v>
      </x:c>
      <x:c r="P13" s="57" t="b">
        <x:v>0</x:v>
      </x:c>
      <x:c r="Q13" s="58" t="str">
        <x:v>ACTIVE</x:v>
      </x:c>
      <x:c r="R13" s="59" t="n">
        <x:v>16</x:v>
      </x:c>
      <x:c r="S13" s="59" t="n">
        <x:v>20.5</x:v>
      </x:c>
      <x:c r="T13" s="59" t="n">
        <x:v>4.5</x:v>
      </x:c>
      <x:c r="U13" s="60" t="n">
        <x:f>S13-R13-T13</x:f>
        <x:v>0</x:v>
      </x:c>
      <x:c r="V13" s="61" t="str">
        <x:v>HOLD</x:v>
      </x:c>
      <x:c r="W13" s="61" t="str">
        <x:v>HOLD</x:v>
      </x:c>
      <x:c r="X13" s="61" t="str">
        <x:v>OUTCOME_INPUTS_PENDING</x:v>
      </x:c>
      <x:c r="Y13" s="61" t="str">
        <x:v>S01/S02/S03/S40/S44</x:v>
      </x:c>
      <x:c r="Z13" s="61" t="str">
        <x:v>ATL_2018_19_G008</x:v>
      </x:c>
    </x:row>
    <x:row r="14">
      <x:c r="A14" s="54" t="n">
        <x:v>9</x:v>
      </x:c>
      <x:c r="B14" s="55" t="n">
        <x:v>43407.5</x:v>
      </x:c>
      <x:c r="C14" s="54" t="str">
        <x:v>H</x:v>
      </x:c>
      <x:c r="D14" s="54" t="str">
        <x:v>Miami Heat</x:v>
      </x:c>
      <x:c r="E14" s="54" t="str">
        <x:v>W</x:v>
      </x:c>
      <x:c r="F14" s="54" t="n">
        <x:v>123</x:v>
      </x:c>
      <x:c r="G14" s="54" t="n">
        <x:v>118</x:v>
      </x:c>
      <x:c r="H14" s="54" t="n">
        <x:f>F14-G14</x:f>
        <x:v>5</x:v>
      </x:c>
      <x:c r="I14" s="54" t="n">
        <x:v>0</x:v>
      </x:c>
      <x:c r="J14" s="54" t="n">
        <x:f>240+25*I14</x:f>
        <x:v>240</x:v>
      </x:c>
      <x:c r="K14" s="54" t="n">
        <x:f>K13+IF(E14="W",1,0)</x:f>
        <x:v>3</x:v>
      </x:c>
      <x:c r="L14" s="54" t="n">
        <x:f>L13+IF(E14="L",1,0)</x:f>
        <x:v>6</x:v>
      </x:c>
      <x:c r="M14" s="56" t="n">
        <x:f>B14-B13-1</x:f>
        <x:v>1</x:v>
      </x:c>
      <x:c r="N14" s="54" t="b">
        <x:f>M14=0</x:f>
        <x:v>0</x:v>
      </x:c>
      <x:c r="O14" s="54" t="str">
        <x:v>DIRECT</x:v>
      </x:c>
      <x:c r="P14" s="57" t="b">
        <x:v>0</x:v>
      </x:c>
      <x:c r="Q14" s="58" t="str">
        <x:v>ACTIVE</x:v>
      </x:c>
      <x:c r="R14" s="59" t="n">
        <x:v>16</x:v>
      </x:c>
      <x:c r="S14" s="59" t="n">
        <x:v>20.2</x:v>
      </x:c>
      <x:c r="T14" s="59" t="n">
        <x:v>4.2</x:v>
      </x:c>
      <x:c r="U14" s="60" t="n">
        <x:f>S14-R14-T14</x:f>
        <x:v>-8.881784197001252e-16</x:v>
      </x:c>
      <x:c r="V14" s="61" t="str">
        <x:v>HOLD</x:v>
      </x:c>
      <x:c r="W14" s="61" t="str">
        <x:v>HOLD</x:v>
      </x:c>
      <x:c r="X14" s="61" t="str">
        <x:v>OUTCOME_INPUTS_PENDING</x:v>
      </x:c>
      <x:c r="Y14" s="61" t="str">
        <x:v>S01/S02/S03/S40/S44</x:v>
      </x:c>
      <x:c r="Z14" s="61" t="str">
        <x:v>ATL_2018_19_G009</x:v>
      </x:c>
    </x:row>
    <x:row r="15">
      <x:c r="A15" s="54" t="n">
        <x:v>10</x:v>
      </x:c>
      <x:c r="B15" s="55" t="n">
        <x:v>43410.5</x:v>
      </x:c>
      <x:c r="C15" s="54" t="str">
        <x:v>A</x:v>
      </x:c>
      <x:c r="D15" s="54" t="str">
        <x:v>Charlotte Hornets</x:v>
      </x:c>
      <x:c r="E15" s="54" t="str">
        <x:v>L</x:v>
      </x:c>
      <x:c r="F15" s="54" t="n">
        <x:v>102</x:v>
      </x:c>
      <x:c r="G15" s="54" t="n">
        <x:v>113</x:v>
      </x:c>
      <x:c r="H15" s="54" t="n">
        <x:f>F15-G15</x:f>
        <x:v>-11</x:v>
      </x:c>
      <x:c r="I15" s="54" t="n">
        <x:v>0</x:v>
      </x:c>
      <x:c r="J15" s="54" t="n">
        <x:f>240+25*I15</x:f>
        <x:v>240</x:v>
      </x:c>
      <x:c r="K15" s="54" t="n">
        <x:f>K14+IF(E15="W",1,0)</x:f>
        <x:v>3</x:v>
      </x:c>
      <x:c r="L15" s="54" t="n">
        <x:f>L14+IF(E15="L",1,0)</x:f>
        <x:v>7</x:v>
      </x:c>
      <x:c r="M15" s="56" t="n">
        <x:f>B15-B14-1</x:f>
        <x:v>2</x:v>
      </x:c>
      <x:c r="N15" s="54" t="b">
        <x:f>M15=0</x:f>
        <x:v>0</x:v>
      </x:c>
      <x:c r="O15" s="54" t="str">
        <x:v>DIRECT</x:v>
      </x:c>
      <x:c r="P15" s="57" t="b">
        <x:v>0</x:v>
      </x:c>
      <x:c r="Q15" s="58" t="str">
        <x:v>ACTIVE</x:v>
      </x:c>
      <x:c r="R15" s="59" t="n">
        <x:v>16</x:v>
      </x:c>
      <x:c r="S15" s="59" t="n">
        <x:v>16.8</x:v>
      </x:c>
      <x:c r="T15" s="59" t="n">
        <x:v>0.8</x:v>
      </x:c>
      <x:c r="U15" s="60" t="n">
        <x:f>S15-R15-T15</x:f>
        <x:v>6.661338147750939e-16</x:v>
      </x:c>
      <x:c r="V15" s="61" t="str">
        <x:v>HOLD</x:v>
      </x:c>
      <x:c r="W15" s="61" t="str">
        <x:v>HOLD</x:v>
      </x:c>
      <x:c r="X15" s="61" t="str">
        <x:v>OUTCOME_INPUTS_PENDING</x:v>
      </x:c>
      <x:c r="Y15" s="61" t="str">
        <x:v>S01/S02/S03/S40/S44</x:v>
      </x:c>
      <x:c r="Z15" s="61" t="str">
        <x:v>ATL_2018_19_G010</x:v>
      </x:c>
    </x:row>
    <x:row r="16">
      <x:c r="A16" s="54" t="n">
        <x:v>11</x:v>
      </x:c>
      <x:c r="B16" s="55" t="n">
        <x:v>43411.5</x:v>
      </x:c>
      <x:c r="C16" s="54" t="str">
        <x:v>H</x:v>
      </x:c>
      <x:c r="D16" s="54" t="str">
        <x:v>New York Knicks</x:v>
      </x:c>
      <x:c r="E16" s="54" t="str">
        <x:v>L</x:v>
      </x:c>
      <x:c r="F16" s="54" t="n">
        <x:v>107</x:v>
      </x:c>
      <x:c r="G16" s="54" t="n">
        <x:v>112</x:v>
      </x:c>
      <x:c r="H16" s="54" t="n">
        <x:f>F16-G16</x:f>
        <x:v>-5</x:v>
      </x:c>
      <x:c r="I16" s="54" t="n">
        <x:v>0</x:v>
      </x:c>
      <x:c r="J16" s="54" t="n">
        <x:f>240+25*I16</x:f>
        <x:v>240</x:v>
      </x:c>
      <x:c r="K16" s="54" t="n">
        <x:f>K15+IF(E16="W",1,0)</x:f>
        <x:v>3</x:v>
      </x:c>
      <x:c r="L16" s="54" t="n">
        <x:f>L15+IF(E16="L",1,0)</x:f>
        <x:v>8</x:v>
      </x:c>
      <x:c r="M16" s="56" t="n">
        <x:f>B16-B15-1</x:f>
        <x:v>0</x:v>
      </x:c>
      <x:c r="N16" s="54" t="b">
        <x:f>M16=0</x:f>
        <x:v>1</x:v>
      </x:c>
      <x:c r="O16" s="54" t="str">
        <x:v>DIRECT</x:v>
      </x:c>
      <x:c r="P16" s="57" t="b">
        <x:v>0</x:v>
      </x:c>
      <x:c r="Q16" s="58" t="str">
        <x:v>ACTIVE</x:v>
      </x:c>
      <x:c r="R16" s="59" t="n">
        <x:v>16</x:v>
      </x:c>
      <x:c r="S16" s="59" t="n">
        <x:v>28.5</x:v>
      </x:c>
      <x:c r="T16" s="59" t="n">
        <x:v>12.5</x:v>
      </x:c>
      <x:c r="U16" s="60" t="n">
        <x:f>S16-R16-T16</x:f>
        <x:v>0</x:v>
      </x:c>
      <x:c r="V16" s="61" t="str">
        <x:v>HOLD</x:v>
      </x:c>
      <x:c r="W16" s="61" t="str">
        <x:v>HOLD</x:v>
      </x:c>
      <x:c r="X16" s="61" t="str">
        <x:v>OUTCOME_INPUTS_PENDING</x:v>
      </x:c>
      <x:c r="Y16" s="61" t="str">
        <x:v>S01/S02/S03/S40/S44</x:v>
      </x:c>
      <x:c r="Z16" s="61" t="str">
        <x:v>ATL_2018_19_G011</x:v>
      </x:c>
    </x:row>
    <x:row r="17">
      <x:c r="A17" s="54" t="n">
        <x:v>12</x:v>
      </x:c>
      <x:c r="B17" s="55" t="n">
        <x:v>43413.5</x:v>
      </x:c>
      <x:c r="C17" s="54" t="str">
        <x:v>H</x:v>
      </x:c>
      <x:c r="D17" s="54" t="str">
        <x:v>Detroit Pistons</x:v>
      </x:c>
      <x:c r="E17" s="54" t="str">
        <x:v>L</x:v>
      </x:c>
      <x:c r="F17" s="54" t="n">
        <x:v>109</x:v>
      </x:c>
      <x:c r="G17" s="54" t="n">
        <x:v>124</x:v>
      </x:c>
      <x:c r="H17" s="54" t="n">
        <x:f>F17-G17</x:f>
        <x:v>-15</x:v>
      </x:c>
      <x:c r="I17" s="54" t="n">
        <x:v>0</x:v>
      </x:c>
      <x:c r="J17" s="54" t="n">
        <x:f>240+25*I17</x:f>
        <x:v>240</x:v>
      </x:c>
      <x:c r="K17" s="54" t="n">
        <x:f>K16+IF(E17="W",1,0)</x:f>
        <x:v>3</x:v>
      </x:c>
      <x:c r="L17" s="54" t="n">
        <x:f>L16+IF(E17="L",1,0)</x:f>
        <x:v>9</x:v>
      </x:c>
      <x:c r="M17" s="56" t="n">
        <x:f>B17-B16-1</x:f>
        <x:v>1</x:v>
      </x:c>
      <x:c r="N17" s="54" t="b">
        <x:f>M17=0</x:f>
        <x:v>0</x:v>
      </x:c>
      <x:c r="O17" s="54" t="str">
        <x:v>DIRECT</x:v>
      </x:c>
      <x:c r="P17" s="57" t="b">
        <x:v>0</x:v>
      </x:c>
      <x:c r="Q17" s="58" t="str">
        <x:v>ACTIVE</x:v>
      </x:c>
      <x:c r="R17" s="59" t="n">
        <x:v>16</x:v>
      </x:c>
      <x:c r="S17" s="59" t="n">
        <x:v>26.7</x:v>
      </x:c>
      <x:c r="T17" s="59" t="n">
        <x:v>10.7</x:v>
      </x:c>
      <x:c r="U17" s="60" t="n">
        <x:f>S17-R17-T17</x:f>
        <x:v>0</x:v>
      </x:c>
      <x:c r="V17" s="61" t="str">
        <x:v>HOLD</x:v>
      </x:c>
      <x:c r="W17" s="61" t="str">
        <x:v>HOLD</x:v>
      </x:c>
      <x:c r="X17" s="61" t="str">
        <x:v>OUTCOME_INPUTS_PENDING</x:v>
      </x:c>
      <x:c r="Y17" s="61" t="str">
        <x:v>S01/S02/S03/S40/S44</x:v>
      </x:c>
      <x:c r="Z17" s="61" t="str">
        <x:v>ATL_2018_19_G012</x:v>
      </x:c>
    </x:row>
    <x:row r="18">
      <x:c r="A18" s="54" t="n">
        <x:v>13</x:v>
      </x:c>
      <x:c r="B18" s="55" t="n">
        <x:v>43415.5</x:v>
      </x:c>
      <x:c r="C18" s="54" t="str">
        <x:v>A</x:v>
      </x:c>
      <x:c r="D18" s="54" t="str">
        <x:v>Los Angeles Lakers</x:v>
      </x:c>
      <x:c r="E18" s="54" t="str">
        <x:v>L</x:v>
      </x:c>
      <x:c r="F18" s="54" t="n">
        <x:v>106</x:v>
      </x:c>
      <x:c r="G18" s="54" t="n">
        <x:v>107</x:v>
      </x:c>
      <x:c r="H18" s="54" t="n">
        <x:f>F18-G18</x:f>
        <x:v>-1</x:v>
      </x:c>
      <x:c r="I18" s="54" t="n">
        <x:v>0</x:v>
      </x:c>
      <x:c r="J18" s="54" t="n">
        <x:f>240+25*I18</x:f>
        <x:v>240</x:v>
      </x:c>
      <x:c r="K18" s="54" t="n">
        <x:f>K17+IF(E18="W",1,0)</x:f>
        <x:v>3</x:v>
      </x:c>
      <x:c r="L18" s="54" t="n">
        <x:f>L17+IF(E18="L",1,0)</x:f>
        <x:v>10</x:v>
      </x:c>
      <x:c r="M18" s="56" t="n">
        <x:f>B18-B17-1</x:f>
        <x:v>1</x:v>
      </x:c>
      <x:c r="N18" s="54" t="b">
        <x:f>M18=0</x:f>
        <x:v>0</x:v>
      </x:c>
      <x:c r="O18" s="54" t="str">
        <x:v>DIRECT</x:v>
      </x:c>
      <x:c r="P18" s="57" t="b">
        <x:v>0</x:v>
      </x:c>
      <x:c r="Q18" s="58" t="str">
        <x:v>ACTIVE</x:v>
      </x:c>
      <x:c r="R18" s="59" t="n">
        <x:v>16</x:v>
      </x:c>
      <x:c r="S18" s="59" t="n">
        <x:v>27.9</x:v>
      </x:c>
      <x:c r="T18" s="59" t="n">
        <x:v>11.9</x:v>
      </x:c>
      <x:c r="U18" s="60" t="n">
        <x:f>S18-R18-T18</x:f>
        <x:v>-1.7763568394002505e-15</x:v>
      </x:c>
      <x:c r="V18" s="61" t="str">
        <x:v>HOLD</x:v>
      </x:c>
      <x:c r="W18" s="61" t="str">
        <x:v>HOLD</x:v>
      </x:c>
      <x:c r="X18" s="61" t="str">
        <x:v>OUTCOME_INPUTS_PENDING</x:v>
      </x:c>
      <x:c r="Y18" s="61" t="str">
        <x:v>S01/S02/S03/S40/S44</x:v>
      </x:c>
      <x:c r="Z18" s="61" t="str">
        <x:v>ATL_2018_19_G013</x:v>
      </x:c>
    </x:row>
    <x:row r="19">
      <x:c r="A19" s="54" t="n">
        <x:v>14</x:v>
      </x:c>
      <x:c r="B19" s="55" t="n">
        <x:v>43417.5</x:v>
      </x:c>
      <x:c r="C19" s="54" t="str">
        <x:v>A</x:v>
      </x:c>
      <x:c r="D19" s="54" t="str">
        <x:v>Golden State Warriors</x:v>
      </x:c>
      <x:c r="E19" s="54" t="str">
        <x:v>L</x:v>
      </x:c>
      <x:c r="F19" s="54" t="n">
        <x:v>103</x:v>
      </x:c>
      <x:c r="G19" s="54" t="n">
        <x:v>110</x:v>
      </x:c>
      <x:c r="H19" s="54" t="n">
        <x:f>F19-G19</x:f>
        <x:v>-7</x:v>
      </x:c>
      <x:c r="I19" s="54" t="n">
        <x:v>0</x:v>
      </x:c>
      <x:c r="J19" s="54" t="n">
        <x:f>240+25*I19</x:f>
        <x:v>240</x:v>
      </x:c>
      <x:c r="K19" s="54" t="n">
        <x:f>K18+IF(E19="W",1,0)</x:f>
        <x:v>3</x:v>
      </x:c>
      <x:c r="L19" s="54" t="n">
        <x:f>L18+IF(E19="L",1,0)</x:f>
        <x:v>11</x:v>
      </x:c>
      <x:c r="M19" s="56" t="n">
        <x:f>B19-B18-1</x:f>
        <x:v>1</x:v>
      </x:c>
      <x:c r="N19" s="54" t="b">
        <x:f>M19=0</x:f>
        <x:v>0</x:v>
      </x:c>
      <x:c r="O19" s="54" t="str">
        <x:v>DIRECT</x:v>
      </x:c>
      <x:c r="P19" s="57" t="b">
        <x:v>0</x:v>
      </x:c>
      <x:c r="Q19" s="58" t="str">
        <x:v>ACTIVE</x:v>
      </x:c>
      <x:c r="R19" s="59" t="n">
        <x:v>14.2</x:v>
      </x:c>
      <x:c r="S19" s="59" t="n">
        <x:v>14.2</x:v>
      </x:c>
      <x:c r="T19" s="59" t="n">
        <x:v>0</x:v>
      </x:c>
      <x:c r="U19" s="60" t="n">
        <x:f>S19-R19-T19</x:f>
        <x:v>0</x:v>
      </x:c>
      <x:c r="V19" s="61" t="str">
        <x:v>HOLD</x:v>
      </x:c>
      <x:c r="W19" s="61" t="str">
        <x:v>HOLD</x:v>
      </x:c>
      <x:c r="X19" s="61" t="str">
        <x:v>OUTCOME_INPUTS_PENDING</x:v>
      </x:c>
      <x:c r="Y19" s="61" t="str">
        <x:v>S01/S02/S03/S40/S44</x:v>
      </x:c>
      <x:c r="Z19" s="61" t="str">
        <x:v>ATL_2018_19_G014</x:v>
      </x:c>
    </x:row>
    <x:row r="20">
      <x:c r="A20" s="54" t="n">
        <x:v>15</x:v>
      </x:c>
      <x:c r="B20" s="55" t="n">
        <x:v>43419.5</x:v>
      </x:c>
      <x:c r="C20" s="54" t="str">
        <x:v>A</x:v>
      </x:c>
      <x:c r="D20" s="54" t="str">
        <x:v>Denver Nuggets</x:v>
      </x:c>
      <x:c r="E20" s="54" t="str">
        <x:v>L</x:v>
      </x:c>
      <x:c r="F20" s="54" t="n">
        <x:v>93</x:v>
      </x:c>
      <x:c r="G20" s="54" t="n">
        <x:v>138</x:v>
      </x:c>
      <x:c r="H20" s="54" t="n">
        <x:f>F20-G20</x:f>
        <x:v>-45</x:v>
      </x:c>
      <x:c r="I20" s="54" t="n">
        <x:v>0</x:v>
      </x:c>
      <x:c r="J20" s="54" t="n">
        <x:f>240+25*I20</x:f>
        <x:v>240</x:v>
      </x:c>
      <x:c r="K20" s="54" t="n">
        <x:f>K19+IF(E20="W",1,0)</x:f>
        <x:v>3</x:v>
      </x:c>
      <x:c r="L20" s="54" t="n">
        <x:f>L19+IF(E20="L",1,0)</x:f>
        <x:v>12</x:v>
      </x:c>
      <x:c r="M20" s="56" t="n">
        <x:f>B20-B19-1</x:f>
        <x:v>1</x:v>
      </x:c>
      <x:c r="N20" s="54" t="b">
        <x:f>M20=0</x:f>
        <x:v>0</x:v>
      </x:c>
      <x:c r="O20" s="54" t="str">
        <x:v>DIRECT</x:v>
      </x:c>
      <x:c r="P20" s="57" t="b">
        <x:v>0</x:v>
      </x:c>
      <x:c r="Q20" s="58" t="str">
        <x:v>ACTIVE</x:v>
      </x:c>
      <x:c r="R20" s="59" t="n">
        <x:v>16</x:v>
      </x:c>
      <x:c r="S20" s="59" t="n">
        <x:v>26.7</x:v>
      </x:c>
      <x:c r="T20" s="59" t="n">
        <x:v>10.7</x:v>
      </x:c>
      <x:c r="U20" s="60" t="n">
        <x:f>S20-R20-T20</x:f>
        <x:v>0</x:v>
      </x:c>
      <x:c r="V20" s="61" t="str">
        <x:v>HOLD</x:v>
      </x:c>
      <x:c r="W20" s="61" t="str">
        <x:v>HOLD</x:v>
      </x:c>
      <x:c r="X20" s="61" t="str">
        <x:v>OUTCOME_INPUTS_PENDING</x:v>
      </x:c>
      <x:c r="Y20" s="61" t="str">
        <x:v>S01/S02/S03/S40/S44</x:v>
      </x:c>
      <x:c r="Z20" s="61" t="str">
        <x:v>ATL_2018_19_G015</x:v>
      </x:c>
    </x:row>
    <x:row r="21">
      <x:c r="A21" s="54" t="n">
        <x:v>16</x:v>
      </x:c>
      <x:c r="B21" s="55" t="n">
        <x:v>43421.5</x:v>
      </x:c>
      <x:c r="C21" s="54" t="str">
        <x:v>A</x:v>
      </x:c>
      <x:c r="D21" s="54" t="str">
        <x:v>Indiana Pacers</x:v>
      </x:c>
      <x:c r="E21" s="54" t="str">
        <x:v>L</x:v>
      </x:c>
      <x:c r="F21" s="54" t="n">
        <x:v>89</x:v>
      </x:c>
      <x:c r="G21" s="54" t="n">
        <x:v>97</x:v>
      </x:c>
      <x:c r="H21" s="54" t="n">
        <x:f>F21-G21</x:f>
        <x:v>-8</x:v>
      </x:c>
      <x:c r="I21" s="54" t="n">
        <x:v>0</x:v>
      </x:c>
      <x:c r="J21" s="54" t="n">
        <x:f>240+25*I21</x:f>
        <x:v>240</x:v>
      </x:c>
      <x:c r="K21" s="54" t="n">
        <x:f>K20+IF(E21="W",1,0)</x:f>
        <x:v>3</x:v>
      </x:c>
      <x:c r="L21" s="54" t="n">
        <x:f>L20+IF(E21="L",1,0)</x:f>
        <x:v>13</x:v>
      </x:c>
      <x:c r="M21" s="56" t="n">
        <x:f>B21-B20-1</x:f>
        <x:v>1</x:v>
      </x:c>
      <x:c r="N21" s="54" t="b">
        <x:f>M21=0</x:f>
        <x:v>0</x:v>
      </x:c>
      <x:c r="O21" s="54" t="str">
        <x:v>DIRECT</x:v>
      </x:c>
      <x:c r="P21" s="57" t="b">
        <x:v>0</x:v>
      </x:c>
      <x:c r="Q21" s="58" t="str">
        <x:v>ACTIVE</x:v>
      </x:c>
      <x:c r="R21" s="59" t="n">
        <x:v>12.4</x:v>
      </x:c>
      <x:c r="S21" s="59" t="n">
        <x:v>12.4</x:v>
      </x:c>
      <x:c r="T21" s="59" t="n">
        <x:v>0</x:v>
      </x:c>
      <x:c r="U21" s="60" t="n">
        <x:f>S21-R21-T21</x:f>
        <x:v>0</x:v>
      </x:c>
      <x:c r="V21" s="61" t="str">
        <x:v>HOLD</x:v>
      </x:c>
      <x:c r="W21" s="61" t="str">
        <x:v>HOLD</x:v>
      </x:c>
      <x:c r="X21" s="61" t="str">
        <x:v>OUTCOME_INPUTS_PENDING</x:v>
      </x:c>
      <x:c r="Y21" s="61" t="str">
        <x:v>S01/S02/S03/S40/S44</x:v>
      </x:c>
      <x:c r="Z21" s="61" t="str">
        <x:v>ATL_2018_19_G016</x:v>
      </x:c>
    </x:row>
    <x:row r="22">
      <x:c r="A22" s="54" t="n">
        <x:v>17</x:v>
      </x:c>
      <x:c r="B22" s="55" t="n">
        <x:v>43423.5</x:v>
      </x:c>
      <x:c r="C22" s="54" t="str">
        <x:v>H</x:v>
      </x:c>
      <x:c r="D22" s="54" t="str">
        <x:v>Los Angeles Clippers</x:v>
      </x:c>
      <x:c r="E22" s="54" t="str">
        <x:v>L</x:v>
      </x:c>
      <x:c r="F22" s="54" t="n">
        <x:v>119</x:v>
      </x:c>
      <x:c r="G22" s="54" t="n">
        <x:v>127</x:v>
      </x:c>
      <x:c r="H22" s="54" t="n">
        <x:f>F22-G22</x:f>
        <x:v>-8</x:v>
      </x:c>
      <x:c r="I22" s="54" t="n">
        <x:v>0</x:v>
      </x:c>
      <x:c r="J22" s="54" t="n">
        <x:f>240+25*I22</x:f>
        <x:v>240</x:v>
      </x:c>
      <x:c r="K22" s="54" t="n">
        <x:f>K21+IF(E22="W",1,0)</x:f>
        <x:v>3</x:v>
      </x:c>
      <x:c r="L22" s="54" t="n">
        <x:f>L21+IF(E22="L",1,0)</x:f>
        <x:v>14</x:v>
      </x:c>
      <x:c r="M22" s="56" t="n">
        <x:f>B22-B21-1</x:f>
        <x:v>1</x:v>
      </x:c>
      <x:c r="N22" s="54" t="b">
        <x:f>M22=0</x:f>
        <x:v>0</x:v>
      </x:c>
      <x:c r="O22" s="54" t="str">
        <x:v>ROSTER</x:v>
      </x:c>
      <x:c r="P22" s="57" t="b">
        <x:v>1</x:v>
      </x:c>
      <x:c r="Q22" s="58" t="str">
        <x:v>MISSED_ROTATION</x:v>
      </x:c>
      <x:c r="R22" s="59" t="n">
        <x:v>0</x:v>
      </x:c>
      <x:c r="S22" s="59" t="n">
        <x:v>14.1</x:v>
      </x:c>
      <x:c r="T22" s="59" t="n">
        <x:v>14.1</x:v>
      </x:c>
      <x:c r="U22" s="60" t="n">
        <x:f>S22-R22-T22</x:f>
        <x:v>0</x:v>
      </x:c>
      <x:c r="V22" s="61" t="str">
        <x:v>HOLD</x:v>
      </x:c>
      <x:c r="W22" s="61" t="str">
        <x:v>HOLD</x:v>
      </x:c>
      <x:c r="X22" s="61" t="str">
        <x:v>OUTCOME_INPUTS_PENDING</x:v>
      </x:c>
      <x:c r="Y22" s="61" t="str">
        <x:v>S01/S02/S03/S40/S44</x:v>
      </x:c>
      <x:c r="Z22" s="61" t="str">
        <x:v>ATL_2018_19_G017</x:v>
      </x:c>
    </x:row>
    <x:row r="23">
      <x:c r="A23" s="54" t="n">
        <x:v>18</x:v>
      </x:c>
      <x:c r="B23" s="55" t="n">
        <x:v>43425.5</x:v>
      </x:c>
      <x:c r="C23" s="54" t="str">
        <x:v>H</x:v>
      </x:c>
      <x:c r="D23" s="54" t="str">
        <x:v>Toronto Raptors</x:v>
      </x:c>
      <x:c r="E23" s="54" t="str">
        <x:v>L</x:v>
      </x:c>
      <x:c r="F23" s="54" t="n">
        <x:v>108</x:v>
      </x:c>
      <x:c r="G23" s="54" t="n">
        <x:v>124</x:v>
      </x:c>
      <x:c r="H23" s="54" t="n">
        <x:f>F23-G23</x:f>
        <x:v>-16</x:v>
      </x:c>
      <x:c r="I23" s="54" t="n">
        <x:v>0</x:v>
      </x:c>
      <x:c r="J23" s="54" t="n">
        <x:f>240+25*I23</x:f>
        <x:v>240</x:v>
      </x:c>
      <x:c r="K23" s="54" t="n">
        <x:f>K22+IF(E23="W",1,0)</x:f>
        <x:v>3</x:v>
      </x:c>
      <x:c r="L23" s="54" t="n">
        <x:f>L22+IF(E23="L",1,0)</x:f>
        <x:v>15</x:v>
      </x:c>
      <x:c r="M23" s="56" t="n">
        <x:f>B23-B22-1</x:f>
        <x:v>1</x:v>
      </x:c>
      <x:c r="N23" s="54" t="b">
        <x:f>M23=0</x:f>
        <x:v>0</x:v>
      </x:c>
      <x:c r="O23" s="54" t="str">
        <x:v>ROSTER</x:v>
      </x:c>
      <x:c r="P23" s="57" t="b">
        <x:v>0</x:v>
      </x:c>
      <x:c r="Q23" s="58" t="str">
        <x:v>DNP</x:v>
      </x:c>
      <x:c r="R23" s="59" t="n">
        <x:v>0</x:v>
      </x:c>
      <x:c r="S23" s="59" t="n">
        <x:v>0</x:v>
      </x:c>
      <x:c r="T23" s="59" t="n">
        <x:v>0</x:v>
      </x:c>
      <x:c r="U23" s="60" t="n">
        <x:f>S23-R23-T23</x:f>
        <x:v>0</x:v>
      </x:c>
      <x:c r="V23" s="61" t="str">
        <x:v>HOLD</x:v>
      </x:c>
      <x:c r="W23" s="61" t="str">
        <x:v>HOLD</x:v>
      </x:c>
      <x:c r="X23" s="61" t="str">
        <x:v>OUTCOME_INPUTS_PENDING</x:v>
      </x:c>
      <x:c r="Y23" s="61" t="str">
        <x:v>S01/S02/S03/S40/S44</x:v>
      </x:c>
      <x:c r="Z23" s="61" t="str">
        <x:v>ATL_2018_19_G018</x:v>
      </x:c>
    </x:row>
    <x:row r="24">
      <x:c r="A24" s="54" t="n">
        <x:v>19</x:v>
      </x:c>
      <x:c r="B24" s="55" t="n">
        <x:v>43427.5</x:v>
      </x:c>
      <x:c r="C24" s="54" t="str">
        <x:v>H</x:v>
      </x:c>
      <x:c r="D24" s="54" t="str">
        <x:v>Boston Celtics</x:v>
      </x:c>
      <x:c r="E24" s="54" t="str">
        <x:v>L</x:v>
      </x:c>
      <x:c r="F24" s="54" t="n">
        <x:v>96</x:v>
      </x:c>
      <x:c r="G24" s="54" t="n">
        <x:v>114</x:v>
      </x:c>
      <x:c r="H24" s="54" t="n">
        <x:f>F24-G24</x:f>
        <x:v>-18</x:v>
      </x:c>
      <x:c r="I24" s="54" t="n">
        <x:v>0</x:v>
      </x:c>
      <x:c r="J24" s="54" t="n">
        <x:f>240+25*I24</x:f>
        <x:v>240</x:v>
      </x:c>
      <x:c r="K24" s="54" t="n">
        <x:f>K23+IF(E24="W",1,0)</x:f>
        <x:v>3</x:v>
      </x:c>
      <x:c r="L24" s="54" t="n">
        <x:f>L23+IF(E24="L",1,0)</x:f>
        <x:v>16</x:v>
      </x:c>
      <x:c r="M24" s="56" t="n">
        <x:f>B24-B23-1</x:f>
        <x:v>1</x:v>
      </x:c>
      <x:c r="N24" s="54" t="b">
        <x:f>M24=0</x:f>
        <x:v>0</x:v>
      </x:c>
      <x:c r="O24" s="54" t="str">
        <x:v>DIRECT</x:v>
      </x:c>
      <x:c r="P24" s="57" t="b">
        <x:v>0</x:v>
      </x:c>
      <x:c r="Q24" s="58" t="str">
        <x:v>ACTIVE</x:v>
      </x:c>
      <x:c r="R24" s="59" t="n">
        <x:v>7.8</x:v>
      </x:c>
      <x:c r="S24" s="59" t="n">
        <x:v>7.8</x:v>
      </x:c>
      <x:c r="T24" s="59" t="n">
        <x:v>0</x:v>
      </x:c>
      <x:c r="U24" s="60" t="n">
        <x:f>S24-R24-T24</x:f>
        <x:v>0</x:v>
      </x:c>
      <x:c r="V24" s="61" t="str">
        <x:v>HOLD</x:v>
      </x:c>
      <x:c r="W24" s="61" t="str">
        <x:v>HOLD</x:v>
      </x:c>
      <x:c r="X24" s="61" t="str">
        <x:v>OUTCOME_INPUTS_PENDING</x:v>
      </x:c>
      <x:c r="Y24" s="61" t="str">
        <x:v>S01/S02/S03/S40/S44</x:v>
      </x:c>
      <x:c r="Z24" s="61" t="str">
        <x:v>ATL_2018_19_G019</x:v>
      </x:c>
    </x:row>
    <x:row r="25">
      <x:c r="A25" s="54" t="n">
        <x:v>20</x:v>
      </x:c>
      <x:c r="B25" s="55" t="n">
        <x:v>43429.5</x:v>
      </x:c>
      <x:c r="C25" s="54" t="str">
        <x:v>H</x:v>
      </x:c>
      <x:c r="D25" s="54" t="str">
        <x:v>Charlotte Hornets</x:v>
      </x:c>
      <x:c r="E25" s="54" t="str">
        <x:v>W</x:v>
      </x:c>
      <x:c r="F25" s="54" t="n">
        <x:v>124</x:v>
      </x:c>
      <x:c r="G25" s="54" t="n">
        <x:v>123</x:v>
      </x:c>
      <x:c r="H25" s="54" t="n">
        <x:f>F25-G25</x:f>
        <x:v>1</x:v>
      </x:c>
      <x:c r="I25" s="54" t="n">
        <x:v>0</x:v>
      </x:c>
      <x:c r="J25" s="54" t="n">
        <x:f>240+25*I25</x:f>
        <x:v>240</x:v>
      </x:c>
      <x:c r="K25" s="54" t="n">
        <x:f>K24+IF(E25="W",1,0)</x:f>
        <x:v>4</x:v>
      </x:c>
      <x:c r="L25" s="54" t="n">
        <x:f>L24+IF(E25="L",1,0)</x:f>
        <x:v>16</x:v>
      </x:c>
      <x:c r="M25" s="56" t="n">
        <x:f>B25-B24-1</x:f>
        <x:v>1</x:v>
      </x:c>
      <x:c r="N25" s="54" t="b">
        <x:f>M25=0</x:f>
        <x:v>0</x:v>
      </x:c>
      <x:c r="O25" s="54" t="str">
        <x:v>DIRECT</x:v>
      </x:c>
      <x:c r="P25" s="57" t="b">
        <x:v>0</x:v>
      </x:c>
      <x:c r="Q25" s="58" t="str">
        <x:v>ACTIVE</x:v>
      </x:c>
      <x:c r="R25" s="59" t="n">
        <x:v>13.5</x:v>
      </x:c>
      <x:c r="S25" s="59" t="n">
        <x:v>13.5</x:v>
      </x:c>
      <x:c r="T25" s="59" t="n">
        <x:v>0</x:v>
      </x:c>
      <x:c r="U25" s="60" t="n">
        <x:f>S25-R25-T25</x:f>
        <x:v>0</x:v>
      </x:c>
      <x:c r="V25" s="61" t="str">
        <x:v>HOLD</x:v>
      </x:c>
      <x:c r="W25" s="61" t="str">
        <x:v>HOLD</x:v>
      </x:c>
      <x:c r="X25" s="61" t="str">
        <x:v>OUTCOME_INPUTS_PENDING</x:v>
      </x:c>
      <x:c r="Y25" s="61" t="str">
        <x:v>S01/S02/S03/S40/S44</x:v>
      </x:c>
      <x:c r="Z25" s="61" t="str">
        <x:v>ATL_2018_19_G020</x:v>
      </x:c>
    </x:row>
    <x:row r="26">
      <x:c r="A26" s="54" t="n">
        <x:v>21</x:v>
      </x:c>
      <x:c r="B26" s="55" t="n">
        <x:v>43431.5</x:v>
      </x:c>
      <x:c r="C26" s="54" t="str">
        <x:v>A</x:v>
      </x:c>
      <x:c r="D26" s="54" t="str">
        <x:v>Miami Heat</x:v>
      </x:c>
      <x:c r="E26" s="54" t="str">
        <x:v>W</x:v>
      </x:c>
      <x:c r="F26" s="54" t="n">
        <x:v>115</x:v>
      </x:c>
      <x:c r="G26" s="54" t="n">
        <x:v>113</x:v>
      </x:c>
      <x:c r="H26" s="54" t="n">
        <x:f>F26-G26</x:f>
        <x:v>2</x:v>
      </x:c>
      <x:c r="I26" s="54" t="n">
        <x:v>0</x:v>
      </x:c>
      <x:c r="J26" s="54" t="n">
        <x:f>240+25*I26</x:f>
        <x:v>240</x:v>
      </x:c>
      <x:c r="K26" s="54" t="n">
        <x:f>K25+IF(E26="W",1,0)</x:f>
        <x:v>5</x:v>
      </x:c>
      <x:c r="L26" s="54" t="n">
        <x:f>L25+IF(E26="L",1,0)</x:f>
        <x:v>16</x:v>
      </x:c>
      <x:c r="M26" s="56" t="n">
        <x:f>B26-B25-1</x:f>
        <x:v>1</x:v>
      </x:c>
      <x:c r="N26" s="54" t="b">
        <x:f>M26=0</x:f>
        <x:v>0</x:v>
      </x:c>
      <x:c r="O26" s="54" t="str">
        <x:v>DIRECT</x:v>
      </x:c>
      <x:c r="P26" s="57" t="b">
        <x:v>0</x:v>
      </x:c>
      <x:c r="Q26" s="58" t="str">
        <x:v>ACTIVE</x:v>
      </x:c>
      <x:c r="R26" s="59" t="n">
        <x:v>16</x:v>
      </x:c>
      <x:c r="S26" s="59" t="n">
        <x:v>20.3</x:v>
      </x:c>
      <x:c r="T26" s="59" t="n">
        <x:v>4.3</x:v>
      </x:c>
      <x:c r="U26" s="60" t="n">
        <x:f>S26-R26-T26</x:f>
        <x:v>8.881784197001252e-16</x:v>
      </x:c>
      <x:c r="V26" s="61" t="str">
        <x:v>HOLD</x:v>
      </x:c>
      <x:c r="W26" s="61" t="str">
        <x:v>HOLD</x:v>
      </x:c>
      <x:c r="X26" s="61" t="str">
        <x:v>OUTCOME_INPUTS_PENDING</x:v>
      </x:c>
      <x:c r="Y26" s="61" t="str">
        <x:v>S01/S02/S03/S40/S44</x:v>
      </x:c>
      <x:c r="Z26" s="61" t="str">
        <x:v>ATL_2018_19_G021</x:v>
      </x:c>
    </x:row>
    <x:row r="27">
      <x:c r="A27" s="54" t="n">
        <x:v>22</x:v>
      </x:c>
      <x:c r="B27" s="55" t="n">
        <x:v>43432.5</x:v>
      </x:c>
      <x:c r="C27" s="54" t="str">
        <x:v>A</x:v>
      </x:c>
      <x:c r="D27" s="54" t="str">
        <x:v>Charlotte Hornets</x:v>
      </x:c>
      <x:c r="E27" s="54" t="str">
        <x:v>L</x:v>
      </x:c>
      <x:c r="F27" s="54" t="n">
        <x:v>94</x:v>
      </x:c>
      <x:c r="G27" s="54" t="n">
        <x:v>108</x:v>
      </x:c>
      <x:c r="H27" s="54" t="n">
        <x:f>F27-G27</x:f>
        <x:v>-14</x:v>
      </x:c>
      <x:c r="I27" s="54" t="n">
        <x:v>0</x:v>
      </x:c>
      <x:c r="J27" s="54" t="n">
        <x:f>240+25*I27</x:f>
        <x:v>240</x:v>
      </x:c>
      <x:c r="K27" s="54" t="n">
        <x:f>K26+IF(E27="W",1,0)</x:f>
        <x:v>5</x:v>
      </x:c>
      <x:c r="L27" s="54" t="n">
        <x:f>L26+IF(E27="L",1,0)</x:f>
        <x:v>17</x:v>
      </x:c>
      <x:c r="M27" s="56" t="n">
        <x:f>B27-B26-1</x:f>
        <x:v>0</x:v>
      </x:c>
      <x:c r="N27" s="54" t="b">
        <x:f>M27=0</x:f>
        <x:v>1</x:v>
      </x:c>
      <x:c r="O27" s="54" t="str">
        <x:v>DIRECT</x:v>
      </x:c>
      <x:c r="P27" s="57" t="b">
        <x:v>0</x:v>
      </x:c>
      <x:c r="Q27" s="58" t="str">
        <x:v>ACTIVE</x:v>
      </x:c>
      <x:c r="R27" s="59" t="n">
        <x:v>16</x:v>
      </x:c>
      <x:c r="S27" s="59" t="n">
        <x:v>21.6</x:v>
      </x:c>
      <x:c r="T27" s="59" t="n">
        <x:v>5.6</x:v>
      </x:c>
      <x:c r="U27" s="60" t="n">
        <x:f>S27-R27-T27</x:f>
        <x:v>1.7763568394002505e-15</x:v>
      </x:c>
      <x:c r="V27" s="61" t="str">
        <x:v>HOLD</x:v>
      </x:c>
      <x:c r="W27" s="61" t="str">
        <x:v>HOLD</x:v>
      </x:c>
      <x:c r="X27" s="61" t="str">
        <x:v>OUTCOME_INPUTS_PENDING</x:v>
      </x:c>
      <x:c r="Y27" s="61" t="str">
        <x:v>S01/S02/S03/S40/S44</x:v>
      </x:c>
      <x:c r="Z27" s="61" t="str">
        <x:v>ATL_2018_19_G022</x:v>
      </x:c>
    </x:row>
    <x:row r="28">
      <x:c r="A28" s="54" t="n">
        <x:v>23</x:v>
      </x:c>
      <x:c r="B28" s="55" t="n">
        <x:v>43434.5</x:v>
      </x:c>
      <x:c r="C28" s="54" t="str">
        <x:v>A</x:v>
      </x:c>
      <x:c r="D28" s="54" t="str">
        <x:v>Oklahoma City Thunder</x:v>
      </x:c>
      <x:c r="E28" s="54" t="str">
        <x:v>L</x:v>
      </x:c>
      <x:c r="F28" s="54" t="n">
        <x:v>109</x:v>
      </x:c>
      <x:c r="G28" s="54" t="n">
        <x:v>124</x:v>
      </x:c>
      <x:c r="H28" s="54" t="n">
        <x:f>F28-G28</x:f>
        <x:v>-15</x:v>
      </x:c>
      <x:c r="I28" s="54" t="n">
        <x:v>0</x:v>
      </x:c>
      <x:c r="J28" s="54" t="n">
        <x:f>240+25*I28</x:f>
        <x:v>240</x:v>
      </x:c>
      <x:c r="K28" s="54" t="n">
        <x:f>K27+IF(E28="W",1,0)</x:f>
        <x:v>5</x:v>
      </x:c>
      <x:c r="L28" s="54" t="n">
        <x:f>L27+IF(E28="L",1,0)</x:f>
        <x:v>18</x:v>
      </x:c>
      <x:c r="M28" s="56" t="n">
        <x:f>B28-B27-1</x:f>
        <x:v>1</x:v>
      </x:c>
      <x:c r="N28" s="54" t="b">
        <x:f>M28=0</x:f>
        <x:v>0</x:v>
      </x:c>
      <x:c r="O28" s="54" t="str">
        <x:v>DIRECT</x:v>
      </x:c>
      <x:c r="P28" s="57" t="b">
        <x:v>0</x:v>
      </x:c>
      <x:c r="Q28" s="58" t="str">
        <x:v>ACTIVE</x:v>
      </x:c>
      <x:c r="R28" s="59" t="n">
        <x:v>15.2</x:v>
      </x:c>
      <x:c r="S28" s="59" t="n">
        <x:v>15.2</x:v>
      </x:c>
      <x:c r="T28" s="59" t="n">
        <x:v>0</x:v>
      </x:c>
      <x:c r="U28" s="60" t="n">
        <x:f>S28-R28-T28</x:f>
        <x:v>0</x:v>
      </x:c>
      <x:c r="V28" s="61" t="str">
        <x:v>HOLD</x:v>
      </x:c>
      <x:c r="W28" s="61" t="str">
        <x:v>HOLD</x:v>
      </x:c>
      <x:c r="X28" s="61" t="str">
        <x:v>OUTCOME_INPUTS_PENDING</x:v>
      </x:c>
      <x:c r="Y28" s="61" t="str">
        <x:v>S01/S02/S03/S40/S44</x:v>
      </x:c>
      <x:c r="Z28" s="61" t="str">
        <x:v>ATL_2018_19_G023</x:v>
      </x:c>
    </x:row>
    <x:row r="29">
      <x:c r="A29" s="54" t="n">
        <x:v>24</x:v>
      </x:c>
      <x:c r="B29" s="55" t="n">
        <x:v>43437.5</x:v>
      </x:c>
      <x:c r="C29" s="54" t="str">
        <x:v>H</x:v>
      </x:c>
      <x:c r="D29" s="54" t="str">
        <x:v>Golden State Warriors</x:v>
      </x:c>
      <x:c r="E29" s="54" t="str">
        <x:v>L</x:v>
      </x:c>
      <x:c r="F29" s="54" t="n">
        <x:v>111</x:v>
      </x:c>
      <x:c r="G29" s="54" t="n">
        <x:v>128</x:v>
      </x:c>
      <x:c r="H29" s="54" t="n">
        <x:f>F29-G29</x:f>
        <x:v>-17</x:v>
      </x:c>
      <x:c r="I29" s="54" t="n">
        <x:v>0</x:v>
      </x:c>
      <x:c r="J29" s="54" t="n">
        <x:f>240+25*I29</x:f>
        <x:v>240</x:v>
      </x:c>
      <x:c r="K29" s="54" t="n">
        <x:f>K28+IF(E29="W",1,0)</x:f>
        <x:v>5</x:v>
      </x:c>
      <x:c r="L29" s="54" t="n">
        <x:f>L28+IF(E29="L",1,0)</x:f>
        <x:v>19</x:v>
      </x:c>
      <x:c r="M29" s="56" t="n">
        <x:f>B29-B28-1</x:f>
        <x:v>2</x:v>
      </x:c>
      <x:c r="N29" s="54" t="b">
        <x:f>M29=0</x:f>
        <x:v>0</x:v>
      </x:c>
      <x:c r="O29" s="54" t="str">
        <x:v>DIRECT</x:v>
      </x:c>
      <x:c r="P29" s="57" t="b">
        <x:v>0</x:v>
      </x:c>
      <x:c r="Q29" s="58" t="str">
        <x:v>ACTIVE</x:v>
      </x:c>
      <x:c r="R29" s="59" t="n">
        <x:v>7.7</x:v>
      </x:c>
      <x:c r="S29" s="59" t="n">
        <x:v>7.7</x:v>
      </x:c>
      <x:c r="T29" s="59" t="n">
        <x:v>0</x:v>
      </x:c>
      <x:c r="U29" s="60" t="n">
        <x:f>S29-R29-T29</x:f>
        <x:v>0</x:v>
      </x:c>
      <x:c r="V29" s="61" t="str">
        <x:v>HOLD</x:v>
      </x:c>
      <x:c r="W29" s="61" t="str">
        <x:v>HOLD</x:v>
      </x:c>
      <x:c r="X29" s="61" t="str">
        <x:v>OUTCOME_INPUTS_PENDING</x:v>
      </x:c>
      <x:c r="Y29" s="61" t="str">
        <x:v>S01/S02/S03/S40/S44</x:v>
      </x:c>
      <x:c r="Z29" s="61" t="str">
        <x:v>ATL_2018_19_G024</x:v>
      </x:c>
    </x:row>
    <x:row r="30">
      <x:c r="A30" s="54" t="n">
        <x:v>25</x:v>
      </x:c>
      <x:c r="B30" s="55" t="n">
        <x:v>43439.5</x:v>
      </x:c>
      <x:c r="C30" s="54" t="str">
        <x:v>H</x:v>
      </x:c>
      <x:c r="D30" s="54" t="str">
        <x:v>Washington Wizards</x:v>
      </x:c>
      <x:c r="E30" s="54" t="str">
        <x:v>L</x:v>
      </x:c>
      <x:c r="F30" s="54" t="n">
        <x:v>117</x:v>
      </x:c>
      <x:c r="G30" s="54" t="n">
        <x:v>131</x:v>
      </x:c>
      <x:c r="H30" s="54" t="n">
        <x:f>F30-G30</x:f>
        <x:v>-14</x:v>
      </x:c>
      <x:c r="I30" s="54" t="n">
        <x:v>0</x:v>
      </x:c>
      <x:c r="J30" s="54" t="n">
        <x:f>240+25*I30</x:f>
        <x:v>240</x:v>
      </x:c>
      <x:c r="K30" s="54" t="n">
        <x:f>K29+IF(E30="W",1,0)</x:f>
        <x:v>5</x:v>
      </x:c>
      <x:c r="L30" s="54" t="n">
        <x:f>L29+IF(E30="L",1,0)</x:f>
        <x:v>20</x:v>
      </x:c>
      <x:c r="M30" s="56" t="n">
        <x:f>B30-B29-1</x:f>
        <x:v>1</x:v>
      </x:c>
      <x:c r="N30" s="54" t="b">
        <x:f>M30=0</x:f>
        <x:v>0</x:v>
      </x:c>
      <x:c r="O30" s="54" t="str">
        <x:v>ROSTER</x:v>
      </x:c>
      <x:c r="P30" s="57" t="b">
        <x:v>0</x:v>
      </x:c>
      <x:c r="Q30" s="58" t="str">
        <x:v>DNP</x:v>
      </x:c>
      <x:c r="R30" s="59" t="n">
        <x:v>0</x:v>
      </x:c>
      <x:c r="S30" s="59" t="n">
        <x:v>0</x:v>
      </x:c>
      <x:c r="T30" s="59" t="n">
        <x:v>0</x:v>
      </x:c>
      <x:c r="U30" s="60" t="n">
        <x:f>S30-R30-T30</x:f>
        <x:v>0</x:v>
      </x:c>
      <x:c r="V30" s="61" t="str">
        <x:v>HOLD</x:v>
      </x:c>
      <x:c r="W30" s="61" t="str">
        <x:v>HOLD</x:v>
      </x:c>
      <x:c r="X30" s="61" t="str">
        <x:v>OUTCOME_INPUTS_PENDING</x:v>
      </x:c>
      <x:c r="Y30" s="61" t="str">
        <x:v>S01/S02/S03/S40/S44</x:v>
      </x:c>
      <x:c r="Z30" s="61" t="str">
        <x:v>ATL_2018_19_G025</x:v>
      </x:c>
    </x:row>
    <x:row r="31">
      <x:c r="A31" s="54" t="n">
        <x:v>26</x:v>
      </x:c>
      <x:c r="B31" s="55" t="n">
        <x:v>43442.5</x:v>
      </x:c>
      <x:c r="C31" s="54" t="str">
        <x:v>H</x:v>
      </x:c>
      <x:c r="D31" s="54" t="str">
        <x:v>Denver Nuggets</x:v>
      </x:c>
      <x:c r="E31" s="54" t="str">
        <x:v>W</x:v>
      </x:c>
      <x:c r="F31" s="54" t="n">
        <x:v>106</x:v>
      </x:c>
      <x:c r="G31" s="54" t="n">
        <x:v>98</x:v>
      </x:c>
      <x:c r="H31" s="54" t="n">
        <x:f>F31-G31</x:f>
        <x:v>8</x:v>
      </x:c>
      <x:c r="I31" s="54" t="n">
        <x:v>0</x:v>
      </x:c>
      <x:c r="J31" s="54" t="n">
        <x:f>240+25*I31</x:f>
        <x:v>240</x:v>
      </x:c>
      <x:c r="K31" s="54" t="n">
        <x:f>K30+IF(E31="W",1,0)</x:f>
        <x:v>6</x:v>
      </x:c>
      <x:c r="L31" s="54" t="n">
        <x:f>L30+IF(E31="L",1,0)</x:f>
        <x:v>20</x:v>
      </x:c>
      <x:c r="M31" s="56" t="n">
        <x:f>B31-B30-1</x:f>
        <x:v>2</x:v>
      </x:c>
      <x:c r="N31" s="54" t="b">
        <x:f>M31=0</x:f>
        <x:v>0</x:v>
      </x:c>
      <x:c r="O31" s="54" t="str">
        <x:v>ROSTER</x:v>
      </x:c>
      <x:c r="P31" s="57" t="b">
        <x:v>0</x:v>
      </x:c>
      <x:c r="Q31" s="58" t="str">
        <x:v>ERIE_ASSIGNMENT</x:v>
      </x:c>
      <x:c r="R31" s="59" t="n">
        <x:v>0</x:v>
      </x:c>
      <x:c r="S31" s="59" t="n">
        <x:v>0</x:v>
      </x:c>
      <x:c r="T31" s="59" t="n">
        <x:v>0</x:v>
      </x:c>
      <x:c r="U31" s="60" t="n">
        <x:f>S31-R31-T31</x:f>
        <x:v>0</x:v>
      </x:c>
      <x:c r="V31" s="61" t="str">
        <x:v>HOLD</x:v>
      </x:c>
      <x:c r="W31" s="61" t="str">
        <x:v>HOLD</x:v>
      </x:c>
      <x:c r="X31" s="61" t="str">
        <x:v>OUTCOME_INPUTS_PENDING</x:v>
      </x:c>
      <x:c r="Y31" s="61" t="str">
        <x:v>S01/S02/S03/S40/S44</x:v>
      </x:c>
      <x:c r="Z31" s="61" t="str">
        <x:v>ATL_2018_19_G026</x:v>
      </x:c>
    </x:row>
    <x:row r="32">
      <x:c r="A32" s="54" t="n">
        <x:v>27</x:v>
      </x:c>
      <x:c r="B32" s="55" t="n">
        <x:v>43446.5</x:v>
      </x:c>
      <x:c r="C32" s="54" t="str">
        <x:v>A</x:v>
      </x:c>
      <x:c r="D32" s="54" t="str">
        <x:v>Dallas Mavericks</x:v>
      </x:c>
      <x:c r="E32" s="54" t="str">
        <x:v>L</x:v>
      </x:c>
      <x:c r="F32" s="54" t="n">
        <x:v>107</x:v>
      </x:c>
      <x:c r="G32" s="54" t="n">
        <x:v>114</x:v>
      </x:c>
      <x:c r="H32" s="54" t="n">
        <x:f>F32-G32</x:f>
        <x:v>-7</x:v>
      </x:c>
      <x:c r="I32" s="54" t="n">
        <x:v>0</x:v>
      </x:c>
      <x:c r="J32" s="54" t="n">
        <x:f>240+25*I32</x:f>
        <x:v>240</x:v>
      </x:c>
      <x:c r="K32" s="54" t="n">
        <x:f>K31+IF(E32="W",1,0)</x:f>
        <x:v>6</x:v>
      </x:c>
      <x:c r="L32" s="54" t="n">
        <x:f>L31+IF(E32="L",1,0)</x:f>
        <x:v>21</x:v>
      </x:c>
      <x:c r="M32" s="56" t="n">
        <x:f>B32-B31-1</x:f>
        <x:v>3</x:v>
      </x:c>
      <x:c r="N32" s="54" t="b">
        <x:f>M32=0</x:f>
        <x:v>0</x:v>
      </x:c>
      <x:c r="O32" s="54" t="str">
        <x:v>ROSTER</x:v>
      </x:c>
      <x:c r="P32" s="57" t="b">
        <x:v>0</x:v>
      </x:c>
      <x:c r="Q32" s="58" t="str">
        <x:v>ERIE_ASSIGNMENT</x:v>
      </x:c>
      <x:c r="R32" s="59" t="n">
        <x:v>0</x:v>
      </x:c>
      <x:c r="S32" s="59" t="n">
        <x:v>0</x:v>
      </x:c>
      <x:c r="T32" s="59" t="n">
        <x:v>0</x:v>
      </x:c>
      <x:c r="U32" s="60" t="n">
        <x:f>S32-R32-T32</x:f>
        <x:v>0</x:v>
      </x:c>
      <x:c r="V32" s="61" t="str">
        <x:v>HOLD</x:v>
      </x:c>
      <x:c r="W32" s="61" t="str">
        <x:v>HOLD</x:v>
      </x:c>
      <x:c r="X32" s="61" t="str">
        <x:v>OUTCOME_INPUTS_PENDING</x:v>
      </x:c>
      <x:c r="Y32" s="61" t="str">
        <x:v>S01/S02/S03/S40/S44</x:v>
      </x:c>
      <x:c r="Z32" s="61" t="str">
        <x:v>ATL_2018_19_G027</x:v>
      </x:c>
    </x:row>
    <x:row r="33">
      <x:c r="A33" s="54" t="n">
        <x:v>28</x:v>
      </x:c>
      <x:c r="B33" s="55" t="n">
        <x:v>43448.5</x:v>
      </x:c>
      <x:c r="C33" s="54" t="str">
        <x:v>A</x:v>
      </x:c>
      <x:c r="D33" s="54" t="str">
        <x:v>Boston Celtics</x:v>
      </x:c>
      <x:c r="E33" s="54" t="str">
        <x:v>L</x:v>
      </x:c>
      <x:c r="F33" s="54" t="n">
        <x:v>108</x:v>
      </x:c>
      <x:c r="G33" s="54" t="n">
        <x:v>129</x:v>
      </x:c>
      <x:c r="H33" s="54" t="n">
        <x:f>F33-G33</x:f>
        <x:v>-21</x:v>
      </x:c>
      <x:c r="I33" s="54" t="n">
        <x:v>0</x:v>
      </x:c>
      <x:c r="J33" s="54" t="n">
        <x:f>240+25*I33</x:f>
        <x:v>240</x:v>
      </x:c>
      <x:c r="K33" s="54" t="n">
        <x:f>K32+IF(E33="W",1,0)</x:f>
        <x:v>6</x:v>
      </x:c>
      <x:c r="L33" s="54" t="n">
        <x:f>L32+IF(E33="L",1,0)</x:f>
        <x:v>22</x:v>
      </x:c>
      <x:c r="M33" s="56" t="n">
        <x:f>B33-B32-1</x:f>
        <x:v>1</x:v>
      </x:c>
      <x:c r="N33" s="54" t="b">
        <x:f>M33=0</x:f>
        <x:v>0</x:v>
      </x:c>
      <x:c r="O33" s="54" t="str">
        <x:v>ROSTER</x:v>
      </x:c>
      <x:c r="P33" s="57" t="b">
        <x:v>0</x:v>
      </x:c>
      <x:c r="Q33" s="58" t="str">
        <x:v>ERIE_ASSIGNMENT</x:v>
      </x:c>
      <x:c r="R33" s="59" t="n">
        <x:v>0</x:v>
      </x:c>
      <x:c r="S33" s="59" t="n">
        <x:v>0</x:v>
      </x:c>
      <x:c r="T33" s="59" t="n">
        <x:v>0</x:v>
      </x:c>
      <x:c r="U33" s="60" t="n">
        <x:f>S33-R33-T33</x:f>
        <x:v>0</x:v>
      </x:c>
      <x:c r="V33" s="61" t="str">
        <x:v>HOLD</x:v>
      </x:c>
      <x:c r="W33" s="61" t="str">
        <x:v>HOLD</x:v>
      </x:c>
      <x:c r="X33" s="61" t="str">
        <x:v>OUTCOME_INPUTS_PENDING</x:v>
      </x:c>
      <x:c r="Y33" s="61" t="str">
        <x:v>S01/S02/S03/S40/S44</x:v>
      </x:c>
      <x:c r="Z33" s="61" t="str">
        <x:v>ATL_2018_19_G028</x:v>
      </x:c>
    </x:row>
    <x:row r="34">
      <x:c r="A34" s="54" t="n">
        <x:v>29</x:v>
      </x:c>
      <x:c r="B34" s="55" t="n">
        <x:v>43450.5</x:v>
      </x:c>
      <x:c r="C34" s="54" t="str">
        <x:v>A</x:v>
      </x:c>
      <x:c r="D34" s="54" t="str">
        <x:v>Brooklyn Nets</x:v>
      </x:c>
      <x:c r="E34" s="54" t="str">
        <x:v>L</x:v>
      </x:c>
      <x:c r="F34" s="54" t="n">
        <x:v>127</x:v>
      </x:c>
      <x:c r="G34" s="54" t="n">
        <x:v>144</x:v>
      </x:c>
      <x:c r="H34" s="54" t="n">
        <x:f>F34-G34</x:f>
        <x:v>-17</x:v>
      </x:c>
      <x:c r="I34" s="54" t="n">
        <x:v>0</x:v>
      </x:c>
      <x:c r="J34" s="54" t="n">
        <x:f>240+25*I34</x:f>
        <x:v>240</x:v>
      </x:c>
      <x:c r="K34" s="54" t="n">
        <x:f>K33+IF(E34="W",1,0)</x:f>
        <x:v>6</x:v>
      </x:c>
      <x:c r="L34" s="54" t="n">
        <x:f>L33+IF(E34="L",1,0)</x:f>
        <x:v>23</x:v>
      </x:c>
      <x:c r="M34" s="56" t="n">
        <x:f>B34-B33-1</x:f>
        <x:v>1</x:v>
      </x:c>
      <x:c r="N34" s="54" t="b">
        <x:f>M34=0</x:f>
        <x:v>0</x:v>
      </x:c>
      <x:c r="O34" s="54" t="str">
        <x:v>ROSTER</x:v>
      </x:c>
      <x:c r="P34" s="57" t="b">
        <x:v>0</x:v>
      </x:c>
      <x:c r="Q34" s="58" t="str">
        <x:v>ERIE_ASSIGNMENT</x:v>
      </x:c>
      <x:c r="R34" s="59" t="n">
        <x:v>0</x:v>
      </x:c>
      <x:c r="S34" s="59" t="n">
        <x:v>0</x:v>
      </x:c>
      <x:c r="T34" s="59" t="n">
        <x:v>0</x:v>
      </x:c>
      <x:c r="U34" s="60" t="n">
        <x:f>S34-R34-T34</x:f>
        <x:v>0</x:v>
      </x:c>
      <x:c r="V34" s="61" t="str">
        <x:v>HOLD</x:v>
      </x:c>
      <x:c r="W34" s="61" t="str">
        <x:v>HOLD</x:v>
      </x:c>
      <x:c r="X34" s="61" t="str">
        <x:v>OUTCOME_INPUTS_PENDING</x:v>
      </x:c>
      <x:c r="Y34" s="61" t="str">
        <x:v>S01/S02/S03/S40/S44</x:v>
      </x:c>
      <x:c r="Z34" s="61" t="str">
        <x:v>ATL_2018_19_G029</x:v>
      </x:c>
    </x:row>
    <x:row r="35">
      <x:c r="A35" s="54" t="n">
        <x:v>30</x:v>
      </x:c>
      <x:c r="B35" s="55" t="n">
        <x:v>43452.5</x:v>
      </x:c>
      <x:c r="C35" s="54" t="str">
        <x:v>H</x:v>
      </x:c>
      <x:c r="D35" s="54" t="str">
        <x:v>Washington Wizards</x:v>
      </x:c>
      <x:c r="E35" s="54" t="str">
        <x:v>W</x:v>
      </x:c>
      <x:c r="F35" s="54" t="n">
        <x:v>118</x:v>
      </x:c>
      <x:c r="G35" s="54" t="n">
        <x:v>110</x:v>
      </x:c>
      <x:c r="H35" s="54" t="n">
        <x:f>F35-G35</x:f>
        <x:v>8</x:v>
      </x:c>
      <x:c r="I35" s="54" t="n">
        <x:v>0</x:v>
      </x:c>
      <x:c r="J35" s="54" t="n">
        <x:f>240+25*I35</x:f>
        <x:v>240</x:v>
      </x:c>
      <x:c r="K35" s="54" t="n">
        <x:f>K34+IF(E35="W",1,0)</x:f>
        <x:v>7</x:v>
      </x:c>
      <x:c r="L35" s="54" t="n">
        <x:f>L34+IF(E35="L",1,0)</x:f>
        <x:v>23</x:v>
      </x:c>
      <x:c r="M35" s="56" t="n">
        <x:f>B35-B34-1</x:f>
        <x:v>1</x:v>
      </x:c>
      <x:c r="N35" s="54" t="b">
        <x:f>M35=0</x:f>
        <x:v>0</x:v>
      </x:c>
      <x:c r="O35" s="54" t="str">
        <x:v>ROSTER</x:v>
      </x:c>
      <x:c r="P35" s="57" t="b">
        <x:v>0</x:v>
      </x:c>
      <x:c r="Q35" s="58" t="str">
        <x:v>ERIE_ASSIGNMENT</x:v>
      </x:c>
      <x:c r="R35" s="59" t="n">
        <x:v>0</x:v>
      </x:c>
      <x:c r="S35" s="59" t="n">
        <x:v>0</x:v>
      </x:c>
      <x:c r="T35" s="59" t="n">
        <x:v>0</x:v>
      </x:c>
      <x:c r="U35" s="60" t="n">
        <x:f>S35-R35-T35</x:f>
        <x:v>0</x:v>
      </x:c>
      <x:c r="V35" s="61" t="str">
        <x:v>HOLD</x:v>
      </x:c>
      <x:c r="W35" s="61" t="str">
        <x:v>HOLD</x:v>
      </x:c>
      <x:c r="X35" s="61" t="str">
        <x:v>OUTCOME_INPUTS_PENDING</x:v>
      </x:c>
      <x:c r="Y35" s="61" t="str">
        <x:v>S01/S02/S03/S40/S44</x:v>
      </x:c>
      <x:c r="Z35" s="61" t="str">
        <x:v>ATL_2018_19_G030</x:v>
      </x:c>
    </x:row>
    <x:row r="36">
      <x:c r="A36" s="54" t="n">
        <x:v>31</x:v>
      </x:c>
      <x:c r="B36" s="55" t="n">
        <x:v>43455.5</x:v>
      </x:c>
      <x:c r="C36" s="54" t="str">
        <x:v>A</x:v>
      </x:c>
      <x:c r="D36" s="54" t="str">
        <x:v>New York Knicks</x:v>
      </x:c>
      <x:c r="E36" s="54" t="str">
        <x:v>W</x:v>
      </x:c>
      <x:c r="F36" s="54" t="n">
        <x:v>114</x:v>
      </x:c>
      <x:c r="G36" s="54" t="n">
        <x:v>107</x:v>
      </x:c>
      <x:c r="H36" s="54" t="n">
        <x:f>F36-G36</x:f>
        <x:v>7</x:v>
      </x:c>
      <x:c r="I36" s="54" t="n">
        <x:v>0</x:v>
      </x:c>
      <x:c r="J36" s="54" t="n">
        <x:f>240+25*I36</x:f>
        <x:v>240</x:v>
      </x:c>
      <x:c r="K36" s="54" t="n">
        <x:f>K35+IF(E36="W",1,0)</x:f>
        <x:v>8</x:v>
      </x:c>
      <x:c r="L36" s="54" t="n">
        <x:f>L35+IF(E36="L",1,0)</x:f>
        <x:v>23</x:v>
      </x:c>
      <x:c r="M36" s="56" t="n">
        <x:f>B36-B35-1</x:f>
        <x:v>2</x:v>
      </x:c>
      <x:c r="N36" s="54" t="b">
        <x:f>M36=0</x:f>
        <x:v>0</x:v>
      </x:c>
      <x:c r="O36" s="54" t="str">
        <x:v>ROSTER</x:v>
      </x:c>
      <x:c r="P36" s="57" t="b">
        <x:v>0</x:v>
      </x:c>
      <x:c r="Q36" s="58" t="str">
        <x:v>ERIE_ASSIGNMENT</x:v>
      </x:c>
      <x:c r="R36" s="59" t="n">
        <x:v>0</x:v>
      </x:c>
      <x:c r="S36" s="59" t="n">
        <x:v>0</x:v>
      </x:c>
      <x:c r="T36" s="59" t="n">
        <x:v>0</x:v>
      </x:c>
      <x:c r="U36" s="60" t="n">
        <x:f>S36-R36-T36</x:f>
        <x:v>0</x:v>
      </x:c>
      <x:c r="V36" s="61" t="str">
        <x:v>HOLD</x:v>
      </x:c>
      <x:c r="W36" s="61" t="str">
        <x:v>HOLD</x:v>
      </x:c>
      <x:c r="X36" s="61" t="str">
        <x:v>OUTCOME_INPUTS_PENDING</x:v>
      </x:c>
      <x:c r="Y36" s="61" t="str">
        <x:v>S01/S02/S03/S40/S44</x:v>
      </x:c>
      <x:c r="Z36" s="61" t="str">
        <x:v>ATL_2018_19_G031</x:v>
      </x:c>
    </x:row>
    <x:row r="37">
      <x:c r="A37" s="54" t="n">
        <x:v>32</x:v>
      </x:c>
      <x:c r="B37" s="55" t="n">
        <x:v>43457.5</x:v>
      </x:c>
      <x:c r="C37" s="54" t="str">
        <x:v>A</x:v>
      </x:c>
      <x:c r="D37" s="54" t="str">
        <x:v>Detroit Pistons</x:v>
      </x:c>
      <x:c r="E37" s="54" t="str">
        <x:v>W</x:v>
      </x:c>
      <x:c r="F37" s="54" t="n">
        <x:v>98</x:v>
      </x:c>
      <x:c r="G37" s="54" t="n">
        <x:v>95</x:v>
      </x:c>
      <x:c r="H37" s="54" t="n">
        <x:f>F37-G37</x:f>
        <x:v>3</x:v>
      </x:c>
      <x:c r="I37" s="54" t="n">
        <x:v>0</x:v>
      </x:c>
      <x:c r="J37" s="54" t="n">
        <x:f>240+25*I37</x:f>
        <x:v>240</x:v>
      </x:c>
      <x:c r="K37" s="54" t="n">
        <x:f>K36+IF(E37="W",1,0)</x:f>
        <x:v>9</x:v>
      </x:c>
      <x:c r="L37" s="54" t="n">
        <x:f>L36+IF(E37="L",1,0)</x:f>
        <x:v>23</x:v>
      </x:c>
      <x:c r="M37" s="56" t="n">
        <x:f>B37-B36-1</x:f>
        <x:v>1</x:v>
      </x:c>
      <x:c r="N37" s="54" t="b">
        <x:f>M37=0</x:f>
        <x:v>0</x:v>
      </x:c>
      <x:c r="O37" s="54" t="str">
        <x:v>ROSTER</x:v>
      </x:c>
      <x:c r="P37" s="57" t="b">
        <x:v>0</x:v>
      </x:c>
      <x:c r="Q37" s="58" t="str">
        <x:v>DNP</x:v>
      </x:c>
      <x:c r="R37" s="59" t="n">
        <x:v>0</x:v>
      </x:c>
      <x:c r="S37" s="59" t="n">
        <x:v>0</x:v>
      </x:c>
      <x:c r="T37" s="59" t="n">
        <x:v>0</x:v>
      </x:c>
      <x:c r="U37" s="60" t="n">
        <x:f>S37-R37-T37</x:f>
        <x:v>0</x:v>
      </x:c>
      <x:c r="V37" s="61" t="str">
        <x:v>HOLD</x:v>
      </x:c>
      <x:c r="W37" s="61" t="str">
        <x:v>HOLD</x:v>
      </x:c>
      <x:c r="X37" s="61" t="str">
        <x:v>OUTCOME_INPUTS_PENDING</x:v>
      </x:c>
      <x:c r="Y37" s="61" t="str">
        <x:v>S01/S02/S03/S40/S44</x:v>
      </x:c>
      <x:c r="Z37" s="61" t="str">
        <x:v>ATL_2018_19_G032</x:v>
      </x:c>
    </x:row>
    <x:row r="38">
      <x:c r="A38" s="54" t="n">
        <x:v>33</x:v>
      </x:c>
      <x:c r="B38" s="55" t="n">
        <x:v>43460.5</x:v>
      </x:c>
      <x:c r="C38" s="54" t="str">
        <x:v>H</x:v>
      </x:c>
      <x:c r="D38" s="54" t="str">
        <x:v>Indiana Pacers</x:v>
      </x:c>
      <x:c r="E38" s="54" t="str">
        <x:v>L</x:v>
      </x:c>
      <x:c r="F38" s="54" t="n">
        <x:v>121</x:v>
      </x:c>
      <x:c r="G38" s="54" t="n">
        <x:v>129</x:v>
      </x:c>
      <x:c r="H38" s="54" t="n">
        <x:f>F38-G38</x:f>
        <x:v>-8</x:v>
      </x:c>
      <x:c r="I38" s="54" t="n">
        <x:v>0</x:v>
      </x:c>
      <x:c r="J38" s="54" t="n">
        <x:f>240+25*I38</x:f>
        <x:v>240</x:v>
      </x:c>
      <x:c r="K38" s="54" t="n">
        <x:f>K37+IF(E38="W",1,0)</x:f>
        <x:v>9</x:v>
      </x:c>
      <x:c r="L38" s="54" t="n">
        <x:f>L37+IF(E38="L",1,0)</x:f>
        <x:v>24</x:v>
      </x:c>
      <x:c r="M38" s="56" t="n">
        <x:f>B38-B37-1</x:f>
        <x:v>2</x:v>
      </x:c>
      <x:c r="N38" s="54" t="b">
        <x:f>M38=0</x:f>
        <x:v>0</x:v>
      </x:c>
      <x:c r="O38" s="54" t="str">
        <x:v>DIRECT</x:v>
      </x:c>
      <x:c r="P38" s="57" t="b">
        <x:v>0</x:v>
      </x:c>
      <x:c r="Q38" s="58" t="str">
        <x:v>ACTIVE</x:v>
      </x:c>
      <x:c r="R38" s="59" t="n">
        <x:v>7.4</x:v>
      </x:c>
      <x:c r="S38" s="59" t="n">
        <x:v>7.4</x:v>
      </x:c>
      <x:c r="T38" s="59" t="n">
        <x:v>0</x:v>
      </x:c>
      <x:c r="U38" s="60" t="n">
        <x:f>S38-R38-T38</x:f>
        <x:v>0</x:v>
      </x:c>
      <x:c r="V38" s="61" t="str">
        <x:v>HOLD</x:v>
      </x:c>
      <x:c r="W38" s="61" t="str">
        <x:v>HOLD</x:v>
      </x:c>
      <x:c r="X38" s="61" t="str">
        <x:v>OUTCOME_INPUTS_PENDING</x:v>
      </x:c>
      <x:c r="Y38" s="61" t="str">
        <x:v>S01/S02/S03/S40/S44</x:v>
      </x:c>
      <x:c r="Z38" s="61" t="str">
        <x:v>ATL_2018_19_G033</x:v>
      </x:c>
    </x:row>
    <x:row r="39">
      <x:c r="A39" s="54" t="n">
        <x:v>34</x:v>
      </x:c>
      <x:c r="B39" s="55" t="n">
        <x:v>43462.5</x:v>
      </x:c>
      <x:c r="C39" s="54" t="str">
        <x:v>A</x:v>
      </x:c>
      <x:c r="D39" s="54" t="str">
        <x:v>Minnesota Timberwolves</x:v>
      </x:c>
      <x:c r="E39" s="54" t="str">
        <x:v>W</x:v>
      </x:c>
      <x:c r="F39" s="54" t="n">
        <x:v>123</x:v>
      </x:c>
      <x:c r="G39" s="54" t="n">
        <x:v>120</x:v>
      </x:c>
      <x:c r="H39" s="54" t="n">
        <x:f>F39-G39</x:f>
        <x:v>3</x:v>
      </x:c>
      <x:c r="I39" s="54" t="n">
        <x:v>1</x:v>
      </x:c>
      <x:c r="J39" s="54" t="n">
        <x:f>240+25*I39</x:f>
        <x:v>265</x:v>
      </x:c>
      <x:c r="K39" s="54" t="n">
        <x:f>K38+IF(E39="W",1,0)</x:f>
        <x:v>10</x:v>
      </x:c>
      <x:c r="L39" s="54" t="n">
        <x:f>L38+IF(E39="L",1,0)</x:f>
        <x:v>24</x:v>
      </x:c>
      <x:c r="M39" s="56" t="n">
        <x:f>B39-B38-1</x:f>
        <x:v>1</x:v>
      </x:c>
      <x:c r="N39" s="54" t="b">
        <x:f>M39=0</x:f>
        <x:v>0</x:v>
      </x:c>
      <x:c r="O39" s="54" t="str">
        <x:v>ROSTER</x:v>
      </x:c>
      <x:c r="P39" s="57" t="b">
        <x:v>0</x:v>
      </x:c>
      <x:c r="Q39" s="58" t="str">
        <x:v>DNP</x:v>
      </x:c>
      <x:c r="R39" s="59" t="n">
        <x:v>0</x:v>
      </x:c>
      <x:c r="S39" s="59" t="n">
        <x:v>0</x:v>
      </x:c>
      <x:c r="T39" s="59" t="n">
        <x:v>0</x:v>
      </x:c>
      <x:c r="U39" s="60" t="n">
        <x:f>S39-R39-T39</x:f>
        <x:v>0</x:v>
      </x:c>
      <x:c r="V39" s="61" t="str">
        <x:v>HOLD</x:v>
      </x:c>
      <x:c r="W39" s="61" t="str">
        <x:v>HOLD</x:v>
      </x:c>
      <x:c r="X39" s="61" t="str">
        <x:v>OUTCOME_INPUTS_PENDING</x:v>
      </x:c>
      <x:c r="Y39" s="61" t="str">
        <x:v>S01/S02/S03/S40/S44</x:v>
      </x:c>
      <x:c r="Z39" s="61" t="str">
        <x:v>ATL_2018_19_G034</x:v>
      </x:c>
    </x:row>
    <x:row r="40">
      <x:c r="A40" s="54" t="n">
        <x:v>35</x:v>
      </x:c>
      <x:c r="B40" s="55" t="n">
        <x:v>43463.5</x:v>
      </x:c>
      <x:c r="C40" s="54" t="str">
        <x:v>H</x:v>
      </x:c>
      <x:c r="D40" s="54" t="str">
        <x:v>Cleveland Cavaliers</x:v>
      </x:c>
      <x:c r="E40" s="54" t="str">
        <x:v>W</x:v>
      </x:c>
      <x:c r="F40" s="54" t="n">
        <x:v>111</x:v>
      </x:c>
      <x:c r="G40" s="54" t="n">
        <x:v>108</x:v>
      </x:c>
      <x:c r="H40" s="54" t="n">
        <x:f>F40-G40</x:f>
        <x:v>3</x:v>
      </x:c>
      <x:c r="I40" s="54" t="n">
        <x:v>0</x:v>
      </x:c>
      <x:c r="J40" s="54" t="n">
        <x:f>240+25*I40</x:f>
        <x:v>240</x:v>
      </x:c>
      <x:c r="K40" s="54" t="n">
        <x:f>K39+IF(E40="W",1,0)</x:f>
        <x:v>11</x:v>
      </x:c>
      <x:c r="L40" s="54" t="n">
        <x:f>L39+IF(E40="L",1,0)</x:f>
        <x:v>24</x:v>
      </x:c>
      <x:c r="M40" s="56" t="n">
        <x:f>B40-B39-1</x:f>
        <x:v>0</x:v>
      </x:c>
      <x:c r="N40" s="54" t="b">
        <x:f>M40=0</x:f>
        <x:v>1</x:v>
      </x:c>
      <x:c r="O40" s="54" t="str">
        <x:v>ROSTER</x:v>
      </x:c>
      <x:c r="P40" s="57" t="b">
        <x:v>0</x:v>
      </x:c>
      <x:c r="Q40" s="58" t="str">
        <x:v>DNP</x:v>
      </x:c>
      <x:c r="R40" s="59" t="n">
        <x:v>0</x:v>
      </x:c>
      <x:c r="S40" s="59" t="n">
        <x:v>0</x:v>
      </x:c>
      <x:c r="T40" s="59" t="n">
        <x:v>0</x:v>
      </x:c>
      <x:c r="U40" s="60" t="n">
        <x:f>S40-R40-T40</x:f>
        <x:v>0</x:v>
      </x:c>
      <x:c r="V40" s="61" t="str">
        <x:v>HOLD</x:v>
      </x:c>
      <x:c r="W40" s="61" t="str">
        <x:v>HOLD</x:v>
      </x:c>
      <x:c r="X40" s="61" t="str">
        <x:v>OUTCOME_INPUTS_PENDING</x:v>
      </x:c>
      <x:c r="Y40" s="61" t="str">
        <x:v>S01/S02/S03/S40/S44</x:v>
      </x:c>
      <x:c r="Z40" s="61" t="str">
        <x:v>ATL_2018_19_G035</x:v>
      </x:c>
    </x:row>
    <x:row r="41">
      <x:c r="A41" s="54" t="n">
        <x:v>36</x:v>
      </x:c>
      <x:c r="B41" s="55" t="n">
        <x:v>43465.5</x:v>
      </x:c>
      <x:c r="C41" s="54" t="str">
        <x:v>A</x:v>
      </x:c>
      <x:c r="D41" s="54" t="str">
        <x:v>Indiana Pacers</x:v>
      </x:c>
      <x:c r="E41" s="54" t="str">
        <x:v>L</x:v>
      </x:c>
      <x:c r="F41" s="54" t="n">
        <x:v>108</x:v>
      </x:c>
      <x:c r="G41" s="54" t="n">
        <x:v>116</x:v>
      </x:c>
      <x:c r="H41" s="54" t="n">
        <x:f>F41-G41</x:f>
        <x:v>-8</x:v>
      </x:c>
      <x:c r="I41" s="54" t="n">
        <x:v>0</x:v>
      </x:c>
      <x:c r="J41" s="54" t="n">
        <x:f>240+25*I41</x:f>
        <x:v>240</x:v>
      </x:c>
      <x:c r="K41" s="54" t="n">
        <x:f>K40+IF(E41="W",1,0)</x:f>
        <x:v>11</x:v>
      </x:c>
      <x:c r="L41" s="54" t="n">
        <x:f>L40+IF(E41="L",1,0)</x:f>
        <x:v>25</x:v>
      </x:c>
      <x:c r="M41" s="56" t="n">
        <x:f>B41-B40-1</x:f>
        <x:v>1</x:v>
      </x:c>
      <x:c r="N41" s="54" t="b">
        <x:f>M41=0</x:f>
        <x:v>0</x:v>
      </x:c>
      <x:c r="O41" s="54" t="str">
        <x:v>ROSTER</x:v>
      </x:c>
      <x:c r="P41" s="57" t="b">
        <x:v>0</x:v>
      </x:c>
      <x:c r="Q41" s="58" t="str">
        <x:v>DNP</x:v>
      </x:c>
      <x:c r="R41" s="59" t="n">
        <x:v>0</x:v>
      </x:c>
      <x:c r="S41" s="59" t="n">
        <x:v>0</x:v>
      </x:c>
      <x:c r="T41" s="59" t="n">
        <x:v>0</x:v>
      </x:c>
      <x:c r="U41" s="60" t="n">
        <x:f>S41-R41-T41</x:f>
        <x:v>0</x:v>
      </x:c>
      <x:c r="V41" s="61" t="str">
        <x:v>HOLD</x:v>
      </x:c>
      <x:c r="W41" s="61" t="str">
        <x:v>HOLD</x:v>
      </x:c>
      <x:c r="X41" s="61" t="str">
        <x:v>OUTCOME_INPUTS_PENDING</x:v>
      </x:c>
      <x:c r="Y41" s="61" t="str">
        <x:v>S01/S02/S03/S40/S44</x:v>
      </x:c>
      <x:c r="Z41" s="61" t="str">
        <x:v>ATL_2018_19_G036</x:v>
      </x:c>
    </x:row>
    <x:row r="42">
      <x:c r="A42" s="54" t="n">
        <x:v>37</x:v>
      </x:c>
      <x:c r="B42" s="55" t="n">
        <x:v>43467.5</x:v>
      </x:c>
      <x:c r="C42" s="54" t="str">
        <x:v>A</x:v>
      </x:c>
      <x:c r="D42" s="54" t="str">
        <x:v>Washington Wizards</x:v>
      </x:c>
      <x:c r="E42" s="54" t="str">
        <x:v>L</x:v>
      </x:c>
      <x:c r="F42" s="54" t="n">
        <x:v>98</x:v>
      </x:c>
      <x:c r="G42" s="54" t="n">
        <x:v>114</x:v>
      </x:c>
      <x:c r="H42" s="54" t="n">
        <x:f>F42-G42</x:f>
        <x:v>-16</x:v>
      </x:c>
      <x:c r="I42" s="54" t="n">
        <x:v>0</x:v>
      </x:c>
      <x:c r="J42" s="54" t="n">
        <x:f>240+25*I42</x:f>
        <x:v>240</x:v>
      </x:c>
      <x:c r="K42" s="54" t="n">
        <x:f>K41+IF(E42="W",1,0)</x:f>
        <x:v>11</x:v>
      </x:c>
      <x:c r="L42" s="54" t="n">
        <x:f>L41+IF(E42="L",1,0)</x:f>
        <x:v>26</x:v>
      </x:c>
      <x:c r="M42" s="56" t="n">
        <x:f>B42-B41-1</x:f>
        <x:v>1</x:v>
      </x:c>
      <x:c r="N42" s="54" t="b">
        <x:f>M42=0</x:f>
        <x:v>0</x:v>
      </x:c>
      <x:c r="O42" s="54" t="str">
        <x:v>ROSTER</x:v>
      </x:c>
      <x:c r="P42" s="57" t="b">
        <x:v>0</x:v>
      </x:c>
      <x:c r="Q42" s="58" t="str">
        <x:v>DNP</x:v>
      </x:c>
      <x:c r="R42" s="59" t="n">
        <x:v>0</x:v>
      </x:c>
      <x:c r="S42" s="59" t="n">
        <x:v>0</x:v>
      </x:c>
      <x:c r="T42" s="59" t="n">
        <x:v>0</x:v>
      </x:c>
      <x:c r="U42" s="60" t="n">
        <x:f>S42-R42-T42</x:f>
        <x:v>0</x:v>
      </x:c>
      <x:c r="V42" s="61" t="str">
        <x:v>HOLD</x:v>
      </x:c>
      <x:c r="W42" s="61" t="str">
        <x:v>HOLD</x:v>
      </x:c>
      <x:c r="X42" s="61" t="str">
        <x:v>OUTCOME_INPUTS_PENDING</x:v>
      </x:c>
      <x:c r="Y42" s="61" t="str">
        <x:v>S01/S02/S03/S40/S44</x:v>
      </x:c>
      <x:c r="Z42" s="61" t="str">
        <x:v>ATL_2018_19_G037</x:v>
      </x:c>
    </x:row>
    <x:row r="43">
      <x:c r="A43" s="54" t="n">
        <x:v>38</x:v>
      </x:c>
      <x:c r="B43" s="55" t="n">
        <x:v>43469.5</x:v>
      </x:c>
      <x:c r="C43" s="54" t="str">
        <x:v>A</x:v>
      </x:c>
      <x:c r="D43" s="54" t="str">
        <x:v>Milwaukee Bucks</x:v>
      </x:c>
      <x:c r="E43" s="54" t="str">
        <x:v>L</x:v>
      </x:c>
      <x:c r="F43" s="54" t="n">
        <x:v>112</x:v>
      </x:c>
      <x:c r="G43" s="54" t="n">
        <x:v>144</x:v>
      </x:c>
      <x:c r="H43" s="54" t="n">
        <x:f>F43-G43</x:f>
        <x:v>-32</x:v>
      </x:c>
      <x:c r="I43" s="54" t="n">
        <x:v>0</x:v>
      </x:c>
      <x:c r="J43" s="54" t="n">
        <x:f>240+25*I43</x:f>
        <x:v>240</x:v>
      </x:c>
      <x:c r="K43" s="54" t="n">
        <x:f>K42+IF(E43="W",1,0)</x:f>
        <x:v>11</x:v>
      </x:c>
      <x:c r="L43" s="54" t="n">
        <x:f>L42+IF(E43="L",1,0)</x:f>
        <x:v>27</x:v>
      </x:c>
      <x:c r="M43" s="56" t="n">
        <x:f>B43-B42-1</x:f>
        <x:v>1</x:v>
      </x:c>
      <x:c r="N43" s="54" t="b">
        <x:f>M43=0</x:f>
        <x:v>0</x:v>
      </x:c>
      <x:c r="O43" s="54" t="str">
        <x:v>ROSTER</x:v>
      </x:c>
      <x:c r="P43" s="57" t="b">
        <x:v>0</x:v>
      </x:c>
      <x:c r="Q43" s="58" t="str">
        <x:v>DNP</x:v>
      </x:c>
      <x:c r="R43" s="59" t="n">
        <x:v>0</x:v>
      </x:c>
      <x:c r="S43" s="59" t="n">
        <x:v>0</x:v>
      </x:c>
      <x:c r="T43" s="59" t="n">
        <x:v>0</x:v>
      </x:c>
      <x:c r="U43" s="60" t="n">
        <x:f>S43-R43-T43</x:f>
        <x:v>0</x:v>
      </x:c>
      <x:c r="V43" s="61" t="str">
        <x:v>HOLD</x:v>
      </x:c>
      <x:c r="W43" s="61" t="str">
        <x:v>HOLD</x:v>
      </x:c>
      <x:c r="X43" s="61" t="str">
        <x:v>OUTCOME_INPUTS_PENDING</x:v>
      </x:c>
      <x:c r="Y43" s="61" t="str">
        <x:v>S01/S02/S03/S40/S44</x:v>
      </x:c>
      <x:c r="Z43" s="61" t="str">
        <x:v>ATL_2018_19_G038</x:v>
      </x:c>
    </x:row>
    <x:row r="44">
      <x:c r="A44" s="54" t="n">
        <x:v>39</x:v>
      </x:c>
      <x:c r="B44" s="55" t="n">
        <x:v>43471.5</x:v>
      </x:c>
      <x:c r="C44" s="54" t="str">
        <x:v>H</x:v>
      </x:c>
      <x:c r="D44" s="54" t="str">
        <x:v>Miami Heat</x:v>
      </x:c>
      <x:c r="E44" s="54" t="str">
        <x:v>W</x:v>
      </x:c>
      <x:c r="F44" s="54" t="n">
        <x:v>106</x:v>
      </x:c>
      <x:c r="G44" s="54" t="n">
        <x:v>82</x:v>
      </x:c>
      <x:c r="H44" s="54" t="n">
        <x:f>F44-G44</x:f>
        <x:v>24</x:v>
      </x:c>
      <x:c r="I44" s="54" t="n">
        <x:v>0</x:v>
      </x:c>
      <x:c r="J44" s="54" t="n">
        <x:f>240+25*I44</x:f>
        <x:v>240</x:v>
      </x:c>
      <x:c r="K44" s="54" t="n">
        <x:f>K43+IF(E44="W",1,0)</x:f>
        <x:v>12</x:v>
      </x:c>
      <x:c r="L44" s="54" t="n">
        <x:f>L43+IF(E44="L",1,0)</x:f>
        <x:v>27</x:v>
      </x:c>
      <x:c r="M44" s="56" t="n">
        <x:f>B44-B43-1</x:f>
        <x:v>1</x:v>
      </x:c>
      <x:c r="N44" s="54" t="b">
        <x:f>M44=0</x:f>
        <x:v>0</x:v>
      </x:c>
      <x:c r="O44" s="54" t="str">
        <x:v>ROSTER</x:v>
      </x:c>
      <x:c r="P44" s="57" t="b">
        <x:v>0</x:v>
      </x:c>
      <x:c r="Q44" s="58" t="str">
        <x:v>LT_7_MIN_GATE</x:v>
      </x:c>
      <x:c r="R44" s="59" t="n">
        <x:v>0</x:v>
      </x:c>
      <x:c r="S44" s="59" t="n">
        <x:v>2.7</x:v>
      </x:c>
      <x:c r="T44" s="59" t="n">
        <x:v>2.7</x:v>
      </x:c>
      <x:c r="U44" s="60" t="n">
        <x:f>S44-R44-T44</x:f>
        <x:v>0</x:v>
      </x:c>
      <x:c r="V44" s="61" t="str">
        <x:v>HOLD</x:v>
      </x:c>
      <x:c r="W44" s="61" t="str">
        <x:v>HOLD</x:v>
      </x:c>
      <x:c r="X44" s="61" t="str">
        <x:v>OUTCOME_INPUTS_PENDING</x:v>
      </x:c>
      <x:c r="Y44" s="61" t="str">
        <x:v>S01/S02/S03/S40/S44</x:v>
      </x:c>
      <x:c r="Z44" s="61" t="str">
        <x:v>ATL_2018_19_G039</x:v>
      </x:c>
    </x:row>
    <x:row r="45">
      <x:c r="A45" s="54" t="n">
        <x:v>40</x:v>
      </x:c>
      <x:c r="B45" s="55" t="n">
        <x:v>43473.5</x:v>
      </x:c>
      <x:c r="C45" s="54" t="str">
        <x:v>A</x:v>
      </x:c>
      <x:c r="D45" s="54" t="str">
        <x:v>Toronto Raptors</x:v>
      </x:c>
      <x:c r="E45" s="54" t="str">
        <x:v>L</x:v>
      </x:c>
      <x:c r="F45" s="54" t="n">
        <x:v>101</x:v>
      </x:c>
      <x:c r="G45" s="54" t="n">
        <x:v>104</x:v>
      </x:c>
      <x:c r="H45" s="54" t="n">
        <x:f>F45-G45</x:f>
        <x:v>-3</x:v>
      </x:c>
      <x:c r="I45" s="54" t="n">
        <x:v>0</x:v>
      </x:c>
      <x:c r="J45" s="54" t="n">
        <x:f>240+25*I45</x:f>
        <x:v>240</x:v>
      </x:c>
      <x:c r="K45" s="54" t="n">
        <x:f>K44+IF(E45="W",1,0)</x:f>
        <x:v>12</x:v>
      </x:c>
      <x:c r="L45" s="54" t="n">
        <x:f>L44+IF(E45="L",1,0)</x:f>
        <x:v>28</x:v>
      </x:c>
      <x:c r="M45" s="56" t="n">
        <x:f>B45-B44-1</x:f>
        <x:v>1</x:v>
      </x:c>
      <x:c r="N45" s="54" t="b">
        <x:f>M45=0</x:f>
        <x:v>0</x:v>
      </x:c>
      <x:c r="O45" s="54" t="str">
        <x:v>ROSTER</x:v>
      </x:c>
      <x:c r="P45" s="57" t="b">
        <x:v>0</x:v>
      </x:c>
      <x:c r="Q45" s="58" t="str">
        <x:v>DNP</x:v>
      </x:c>
      <x:c r="R45" s="59" t="n">
        <x:v>0</x:v>
      </x:c>
      <x:c r="S45" s="59" t="n">
        <x:v>0</x:v>
      </x:c>
      <x:c r="T45" s="59" t="n">
        <x:v>0</x:v>
      </x:c>
      <x:c r="U45" s="60" t="n">
        <x:f>S45-R45-T45</x:f>
        <x:v>0</x:v>
      </x:c>
      <x:c r="V45" s="61" t="str">
        <x:v>HOLD</x:v>
      </x:c>
      <x:c r="W45" s="61" t="str">
        <x:v>HOLD</x:v>
      </x:c>
      <x:c r="X45" s="61" t="str">
        <x:v>OUTCOME_INPUTS_PENDING</x:v>
      </x:c>
      <x:c r="Y45" s="61" t="str">
        <x:v>S01/S02/S03/S40/S44</x:v>
      </x:c>
      <x:c r="Z45" s="61" t="str">
        <x:v>ATL_2018_19_G040</x:v>
      </x:c>
    </x:row>
    <x:row r="46">
      <x:c r="A46" s="54" t="n">
        <x:v>41</x:v>
      </x:c>
      <x:c r="B46" s="55" t="n">
        <x:v>43474.5</x:v>
      </x:c>
      <x:c r="C46" s="54" t="str">
        <x:v>A</x:v>
      </x:c>
      <x:c r="D46" s="54" t="str">
        <x:v>Brooklyn Nets</x:v>
      </x:c>
      <x:c r="E46" s="54" t="str">
        <x:v>L</x:v>
      </x:c>
      <x:c r="F46" s="54" t="n">
        <x:v>100</x:v>
      </x:c>
      <x:c r="G46" s="54" t="n">
        <x:v>116</x:v>
      </x:c>
      <x:c r="H46" s="54" t="n">
        <x:f>F46-G46</x:f>
        <x:v>-16</x:v>
      </x:c>
      <x:c r="I46" s="54" t="n">
        <x:v>0</x:v>
      </x:c>
      <x:c r="J46" s="54" t="n">
        <x:f>240+25*I46</x:f>
        <x:v>240</x:v>
      </x:c>
      <x:c r="K46" s="54" t="n">
        <x:f>K45+IF(E46="W",1,0)</x:f>
        <x:v>12</x:v>
      </x:c>
      <x:c r="L46" s="54" t="n">
        <x:f>L45+IF(E46="L",1,0)</x:f>
        <x:v>29</x:v>
      </x:c>
      <x:c r="M46" s="56" t="n">
        <x:f>B46-B45-1</x:f>
        <x:v>0</x:v>
      </x:c>
      <x:c r="N46" s="54" t="b">
        <x:f>M46=0</x:f>
        <x:v>1</x:v>
      </x:c>
      <x:c r="O46" s="54" t="str">
        <x:v>ROSTER</x:v>
      </x:c>
      <x:c r="P46" s="57" t="b">
        <x:v>0</x:v>
      </x:c>
      <x:c r="Q46" s="58" t="str">
        <x:v>DNP</x:v>
      </x:c>
      <x:c r="R46" s="59" t="n">
        <x:v>0</x:v>
      </x:c>
      <x:c r="S46" s="59" t="n">
        <x:v>0</x:v>
      </x:c>
      <x:c r="T46" s="59" t="n">
        <x:v>0</x:v>
      </x:c>
      <x:c r="U46" s="60" t="n">
        <x:f>S46-R46-T46</x:f>
        <x:v>0</x:v>
      </x:c>
      <x:c r="V46" s="61" t="str">
        <x:v>HOLD</x:v>
      </x:c>
      <x:c r="W46" s="61" t="str">
        <x:v>HOLD</x:v>
      </x:c>
      <x:c r="X46" s="61" t="str">
        <x:v>OUTCOME_INPUTS_PENDING</x:v>
      </x:c>
      <x:c r="Y46" s="61" t="str">
        <x:v>S01/S02/S03/S40/S44</x:v>
      </x:c>
      <x:c r="Z46" s="61" t="str">
        <x:v>ATL_2018_19_G041</x:v>
      </x:c>
    </x:row>
    <x:row r="47">
      <x:c r="A47" s="54" t="n">
        <x:v>42</x:v>
      </x:c>
      <x:c r="B47" s="55" t="n">
        <x:v>43476.5</x:v>
      </x:c>
      <x:c r="C47" s="54" t="str">
        <x:v>A</x:v>
      </x:c>
      <x:c r="D47" s="54" t="str">
        <x:v>Philadelphia 76ers</x:v>
      </x:c>
      <x:c r="E47" s="54" t="str">
        <x:v>W</x:v>
      </x:c>
      <x:c r="F47" s="54" t="n">
        <x:v>123</x:v>
      </x:c>
      <x:c r="G47" s="54" t="n">
        <x:v>121</x:v>
      </x:c>
      <x:c r="H47" s="54" t="n">
        <x:f>F47-G47</x:f>
        <x:v>2</x:v>
      </x:c>
      <x:c r="I47" s="54" t="n">
        <x:v>0</x:v>
      </x:c>
      <x:c r="J47" s="54" t="n">
        <x:f>240+25*I47</x:f>
        <x:v>240</x:v>
      </x:c>
      <x:c r="K47" s="54" t="n">
        <x:f>K46+IF(E47="W",1,0)</x:f>
        <x:v>13</x:v>
      </x:c>
      <x:c r="L47" s="54" t="n">
        <x:f>L46+IF(E47="L",1,0)</x:f>
        <x:v>29</x:v>
      </x:c>
      <x:c r="M47" s="56" t="n">
        <x:f>B47-B46-1</x:f>
        <x:v>1</x:v>
      </x:c>
      <x:c r="N47" s="54" t="b">
        <x:f>M47=0</x:f>
        <x:v>0</x:v>
      </x:c>
      <x:c r="O47" s="54" t="str">
        <x:v>ROSTER</x:v>
      </x:c>
      <x:c r="P47" s="57" t="b">
        <x:v>0</x:v>
      </x:c>
      <x:c r="Q47" s="58" t="str">
        <x:v>LT_7_MIN_GATE</x:v>
      </x:c>
      <x:c r="R47" s="59" t="n">
        <x:v>0</x:v>
      </x:c>
      <x:c r="S47" s="59" t="n">
        <x:v>2.9</x:v>
      </x:c>
      <x:c r="T47" s="59" t="n">
        <x:v>2.9</x:v>
      </x:c>
      <x:c r="U47" s="60" t="n">
        <x:f>S47-R47-T47</x:f>
        <x:v>0</x:v>
      </x:c>
      <x:c r="V47" s="61" t="str">
        <x:v>HOLD</x:v>
      </x:c>
      <x:c r="W47" s="61" t="str">
        <x:v>HOLD</x:v>
      </x:c>
      <x:c r="X47" s="61" t="str">
        <x:v>OUTCOME_INPUTS_PENDING</x:v>
      </x:c>
      <x:c r="Y47" s="61" t="str">
        <x:v>S01/S02/S03/S40/S44</x:v>
      </x:c>
      <x:c r="Z47" s="61" t="str">
        <x:v>ATL_2018_19_G042</x:v>
      </x:c>
    </x:row>
    <x:row r="48">
      <x:c r="A48" s="54" t="n">
        <x:v>43</x:v>
      </x:c>
      <x:c r="B48" s="55" t="n">
        <x:v>43478.5</x:v>
      </x:c>
      <x:c r="C48" s="54" t="str">
        <x:v>H</x:v>
      </x:c>
      <x:c r="D48" s="54" t="str">
        <x:v>Milwaukee Bucks</x:v>
      </x:c>
      <x:c r="E48" s="54" t="str">
        <x:v>L</x:v>
      </x:c>
      <x:c r="F48" s="54" t="n">
        <x:v>114</x:v>
      </x:c>
      <x:c r="G48" s="54" t="n">
        <x:v>133</x:v>
      </x:c>
      <x:c r="H48" s="54" t="n">
        <x:f>F48-G48</x:f>
        <x:v>-19</x:v>
      </x:c>
      <x:c r="I48" s="54" t="n">
        <x:v>0</x:v>
      </x:c>
      <x:c r="J48" s="54" t="n">
        <x:f>240+25*I48</x:f>
        <x:v>240</x:v>
      </x:c>
      <x:c r="K48" s="54" t="n">
        <x:f>K47+IF(E48="W",1,0)</x:f>
        <x:v>13</x:v>
      </x:c>
      <x:c r="L48" s="54" t="n">
        <x:f>L47+IF(E48="L",1,0)</x:f>
        <x:v>30</x:v>
      </x:c>
      <x:c r="M48" s="56" t="n">
        <x:f>B48-B47-1</x:f>
        <x:v>1</x:v>
      </x:c>
      <x:c r="N48" s="54" t="b">
        <x:f>M48=0</x:f>
        <x:v>0</x:v>
      </x:c>
      <x:c r="O48" s="54" t="str">
        <x:v>DIRECT</x:v>
      </x:c>
      <x:c r="P48" s="57" t="b">
        <x:v>0</x:v>
      </x:c>
      <x:c r="Q48" s="58" t="str">
        <x:v>ACTIVE</x:v>
      </x:c>
      <x:c r="R48" s="59" t="n">
        <x:v>16</x:v>
      </x:c>
      <x:c r="S48" s="59" t="n">
        <x:v>29.9</x:v>
      </x:c>
      <x:c r="T48" s="59" t="n">
        <x:v>13.9</x:v>
      </x:c>
      <x:c r="U48" s="60" t="n">
        <x:f>S48-R48-T48</x:f>
        <x:v>-1.7763568394002505e-15</x:v>
      </x:c>
      <x:c r="V48" s="61" t="str">
        <x:v>HOLD</x:v>
      </x:c>
      <x:c r="W48" s="61" t="str">
        <x:v>HOLD</x:v>
      </x:c>
      <x:c r="X48" s="61" t="str">
        <x:v>OUTCOME_INPUTS_PENDING</x:v>
      </x:c>
      <x:c r="Y48" s="61" t="str">
        <x:v>S01/S02/S03/S40/S44</x:v>
      </x:c>
      <x:c r="Z48" s="61" t="str">
        <x:v>ATL_2018_19_G043</x:v>
      </x:c>
    </x:row>
    <x:row r="49">
      <x:c r="A49" s="54" t="n">
        <x:v>44</x:v>
      </x:c>
      <x:c r="B49" s="55" t="n">
        <x:v>43480.5</x:v>
      </x:c>
      <x:c r="C49" s="54" t="str">
        <x:v>H</x:v>
      </x:c>
      <x:c r="D49" s="54" t="str">
        <x:v>Oklahoma City Thunder</x:v>
      </x:c>
      <x:c r="E49" s="54" t="str">
        <x:v>W</x:v>
      </x:c>
      <x:c r="F49" s="54" t="n">
        <x:v>142</x:v>
      </x:c>
      <x:c r="G49" s="54" t="n">
        <x:v>126</x:v>
      </x:c>
      <x:c r="H49" s="54" t="n">
        <x:f>F49-G49</x:f>
        <x:v>16</x:v>
      </x:c>
      <x:c r="I49" s="54" t="n">
        <x:v>0</x:v>
      </x:c>
      <x:c r="J49" s="54" t="n">
        <x:f>240+25*I49</x:f>
        <x:v>240</x:v>
      </x:c>
      <x:c r="K49" s="54" t="n">
        <x:f>K48+IF(E49="W",1,0)</x:f>
        <x:v>14</x:v>
      </x:c>
      <x:c r="L49" s="54" t="n">
        <x:f>L48+IF(E49="L",1,0)</x:f>
        <x:v>30</x:v>
      </x:c>
      <x:c r="M49" s="56" t="n">
        <x:f>B49-B48-1</x:f>
        <x:v>1</x:v>
      </x:c>
      <x:c r="N49" s="54" t="b">
        <x:f>M49=0</x:f>
        <x:v>0</x:v>
      </x:c>
      <x:c r="O49" s="54" t="str">
        <x:v>DIRECT</x:v>
      </x:c>
      <x:c r="P49" s="57" t="b">
        <x:v>0</x:v>
      </x:c>
      <x:c r="Q49" s="58" t="str">
        <x:v>ACTIVE</x:v>
      </x:c>
      <x:c r="R49" s="59" t="n">
        <x:v>16</x:v>
      </x:c>
      <x:c r="S49" s="59" t="n">
        <x:v>21.9</x:v>
      </x:c>
      <x:c r="T49" s="59" t="n">
        <x:v>5.9</x:v>
      </x:c>
      <x:c r="U49" s="60" t="n">
        <x:f>S49-R49-T49</x:f>
        <x:v>-1.7763568394002505e-15</x:v>
      </x:c>
      <x:c r="V49" s="61" t="str">
        <x:v>HOLD</x:v>
      </x:c>
      <x:c r="W49" s="61" t="str">
        <x:v>HOLD</x:v>
      </x:c>
      <x:c r="X49" s="61" t="str">
        <x:v>OUTCOME_INPUTS_PENDING</x:v>
      </x:c>
      <x:c r="Y49" s="61" t="str">
        <x:v>S01/S02/S03/S40/S44</x:v>
      </x:c>
      <x:c r="Z49" s="61" t="str">
        <x:v>ATL_2018_19_G044</x:v>
      </x:c>
    </x:row>
    <x:row r="50">
      <x:c r="A50" s="54" t="n">
        <x:v>45</x:v>
      </x:c>
      <x:c r="B50" s="55" t="n">
        <x:v>43484.5</x:v>
      </x:c>
      <x:c r="C50" s="54" t="str">
        <x:v>H</x:v>
      </x:c>
      <x:c r="D50" s="54" t="str">
        <x:v>Boston Celtics</x:v>
      </x:c>
      <x:c r="E50" s="54" t="str">
        <x:v>L</x:v>
      </x:c>
      <x:c r="F50" s="54" t="n">
        <x:v>105</x:v>
      </x:c>
      <x:c r="G50" s="54" t="n">
        <x:v>113</x:v>
      </x:c>
      <x:c r="H50" s="54" t="n">
        <x:f>F50-G50</x:f>
        <x:v>-8</x:v>
      </x:c>
      <x:c r="I50" s="54" t="n">
        <x:v>0</x:v>
      </x:c>
      <x:c r="J50" s="54" t="n">
        <x:f>240+25*I50</x:f>
        <x:v>240</x:v>
      </x:c>
      <x:c r="K50" s="54" t="n">
        <x:f>K49+IF(E50="W",1,0)</x:f>
        <x:v>14</x:v>
      </x:c>
      <x:c r="L50" s="54" t="n">
        <x:f>L49+IF(E50="L",1,0)</x:f>
        <x:v>31</x:v>
      </x:c>
      <x:c r="M50" s="56" t="n">
        <x:f>B50-B49-1</x:f>
        <x:v>3</x:v>
      </x:c>
      <x:c r="N50" s="54" t="b">
        <x:f>M50=0</x:f>
        <x:v>0</x:v>
      </x:c>
      <x:c r="O50" s="54" t="str">
        <x:v>DIRECT</x:v>
      </x:c>
      <x:c r="P50" s="57" t="b">
        <x:v>0</x:v>
      </x:c>
      <x:c r="Q50" s="58" t="str">
        <x:v>ACTIVE</x:v>
      </x:c>
      <x:c r="R50" s="59" t="n">
        <x:v>15.4</x:v>
      </x:c>
      <x:c r="S50" s="59" t="n">
        <x:v>15.4</x:v>
      </x:c>
      <x:c r="T50" s="59" t="n">
        <x:v>0</x:v>
      </x:c>
      <x:c r="U50" s="60" t="n">
        <x:f>S50-R50-T50</x:f>
        <x:v>0</x:v>
      </x:c>
      <x:c r="V50" s="61" t="str">
        <x:v>HOLD</x:v>
      </x:c>
      <x:c r="W50" s="61" t="str">
        <x:v>HOLD</x:v>
      </x:c>
      <x:c r="X50" s="61" t="str">
        <x:v>OUTCOME_INPUTS_PENDING</x:v>
      </x:c>
      <x:c r="Y50" s="61" t="str">
        <x:v>S01/S02/S03/S40/S44</x:v>
      </x:c>
      <x:c r="Z50" s="61" t="str">
        <x:v>ATL_2018_19_G045</x:v>
      </x:c>
    </x:row>
    <x:row r="51">
      <x:c r="A51" s="54" t="n">
        <x:v>46</x:v>
      </x:c>
      <x:c r="B51" s="55" t="n">
        <x:v>43486.5</x:v>
      </x:c>
      <x:c r="C51" s="54" t="str">
        <x:v>H</x:v>
      </x:c>
      <x:c r="D51" s="54" t="str">
        <x:v>Orlando Magic</x:v>
      </x:c>
      <x:c r="E51" s="54" t="str">
        <x:v>L</x:v>
      </x:c>
      <x:c r="F51" s="54" t="n">
        <x:v>103</x:v>
      </x:c>
      <x:c r="G51" s="54" t="n">
        <x:v>122</x:v>
      </x:c>
      <x:c r="H51" s="54" t="n">
        <x:f>F51-G51</x:f>
        <x:v>-19</x:v>
      </x:c>
      <x:c r="I51" s="54" t="n">
        <x:v>0</x:v>
      </x:c>
      <x:c r="J51" s="54" t="n">
        <x:f>240+25*I51</x:f>
        <x:v>240</x:v>
      </x:c>
      <x:c r="K51" s="54" t="n">
        <x:f>K50+IF(E51="W",1,0)</x:f>
        <x:v>14</x:v>
      </x:c>
      <x:c r="L51" s="54" t="n">
        <x:f>L50+IF(E51="L",1,0)</x:f>
        <x:v>32</x:v>
      </x:c>
      <x:c r="M51" s="56" t="n">
        <x:f>B51-B50-1</x:f>
        <x:v>1</x:v>
      </x:c>
      <x:c r="N51" s="54" t="b">
        <x:f>M51=0</x:f>
        <x:v>0</x:v>
      </x:c>
      <x:c r="O51" s="54" t="str">
        <x:v>DIRECT</x:v>
      </x:c>
      <x:c r="P51" s="57" t="b">
        <x:v>0</x:v>
      </x:c>
      <x:c r="Q51" s="58" t="str">
        <x:v>ACTIVE</x:v>
      </x:c>
      <x:c r="R51" s="59" t="n">
        <x:v>16</x:v>
      </x:c>
      <x:c r="S51" s="59" t="n">
        <x:v>16.7</x:v>
      </x:c>
      <x:c r="T51" s="59" t="n">
        <x:v>0.7</x:v>
      </x:c>
      <x:c r="U51" s="60" t="n">
        <x:f>S51-R51-T51</x:f>
        <x:v>-6.661338147750939e-16</x:v>
      </x:c>
      <x:c r="V51" s="61" t="str">
        <x:v>HOLD</x:v>
      </x:c>
      <x:c r="W51" s="61" t="str">
        <x:v>HOLD</x:v>
      </x:c>
      <x:c r="X51" s="61" t="str">
        <x:v>OUTCOME_INPUTS_PENDING</x:v>
      </x:c>
      <x:c r="Y51" s="61" t="str">
        <x:v>S01/S02/S03/S40/S44</x:v>
      </x:c>
      <x:c r="Z51" s="61" t="str">
        <x:v>ATL_2018_19_G046</x:v>
      </x:c>
    </x:row>
    <x:row r="52">
      <x:c r="A52" s="54" t="n">
        <x:v>47</x:v>
      </x:c>
      <x:c r="B52" s="55" t="n">
        <x:v>43488.5</x:v>
      </x:c>
      <x:c r="C52" s="54" t="str">
        <x:v>A</x:v>
      </x:c>
      <x:c r="D52" s="54" t="str">
        <x:v>Chicago Bulls</x:v>
      </x:c>
      <x:c r="E52" s="54" t="str">
        <x:v>W</x:v>
      </x:c>
      <x:c r="F52" s="54" t="n">
        <x:v>121</x:v>
      </x:c>
      <x:c r="G52" s="54" t="n">
        <x:v>101</x:v>
      </x:c>
      <x:c r="H52" s="54" t="n">
        <x:f>F52-G52</x:f>
        <x:v>20</x:v>
      </x:c>
      <x:c r="I52" s="54" t="n">
        <x:v>0</x:v>
      </x:c>
      <x:c r="J52" s="54" t="n">
        <x:f>240+25*I52</x:f>
        <x:v>240</x:v>
      </x:c>
      <x:c r="K52" s="54" t="n">
        <x:f>K51+IF(E52="W",1,0)</x:f>
        <x:v>15</x:v>
      </x:c>
      <x:c r="L52" s="54" t="n">
        <x:f>L51+IF(E52="L",1,0)</x:f>
        <x:v>32</x:v>
      </x:c>
      <x:c r="M52" s="56" t="n">
        <x:f>B52-B51-1</x:f>
        <x:v>1</x:v>
      </x:c>
      <x:c r="N52" s="54" t="b">
        <x:f>M52=0</x:f>
        <x:v>0</x:v>
      </x:c>
      <x:c r="O52" s="54" t="str">
        <x:v>DIRECT</x:v>
      </x:c>
      <x:c r="P52" s="57" t="b">
        <x:v>0</x:v>
      </x:c>
      <x:c r="Q52" s="58" t="str">
        <x:v>ACTIVE</x:v>
      </x:c>
      <x:c r="R52" s="59" t="n">
        <x:v>16</x:v>
      </x:c>
      <x:c r="S52" s="59" t="n">
        <x:v>19.6</x:v>
      </x:c>
      <x:c r="T52" s="59" t="n">
        <x:v>3.6</x:v>
      </x:c>
      <x:c r="U52" s="60" t="n">
        <x:f>S52-R52-T52</x:f>
        <x:v>1.3322676295501878e-15</x:v>
      </x:c>
      <x:c r="V52" s="61" t="str">
        <x:v>HOLD</x:v>
      </x:c>
      <x:c r="W52" s="61" t="str">
        <x:v>HOLD</x:v>
      </x:c>
      <x:c r="X52" s="61" t="str">
        <x:v>OUTCOME_INPUTS_PENDING</x:v>
      </x:c>
      <x:c r="Y52" s="61" t="str">
        <x:v>S01/S02/S03/S40/S44</x:v>
      </x:c>
      <x:c r="Z52" s="61" t="str">
        <x:v>ATL_2018_19_G047</x:v>
      </x:c>
    </x:row>
    <x:row r="53">
      <x:c r="A53" s="54" t="n">
        <x:v>48</x:v>
      </x:c>
      <x:c r="B53" s="55" t="n">
        <x:v>43491.5</x:v>
      </x:c>
      <x:c r="C53" s="54" t="str">
        <x:v>A</x:v>
      </x:c>
      <x:c r="D53" s="54" t="str">
        <x:v>Portland Trail Blazers</x:v>
      </x:c>
      <x:c r="E53" s="54" t="str">
        <x:v>L</x:v>
      </x:c>
      <x:c r="F53" s="54" t="n">
        <x:v>111</x:v>
      </x:c>
      <x:c r="G53" s="54" t="n">
        <x:v>120</x:v>
      </x:c>
      <x:c r="H53" s="54" t="n">
        <x:f>F53-G53</x:f>
        <x:v>-9</x:v>
      </x:c>
      <x:c r="I53" s="54" t="n">
        <x:v>0</x:v>
      </x:c>
      <x:c r="J53" s="54" t="n">
        <x:f>240+25*I53</x:f>
        <x:v>240</x:v>
      </x:c>
      <x:c r="K53" s="54" t="n">
        <x:f>K52+IF(E53="W",1,0)</x:f>
        <x:v>15</x:v>
      </x:c>
      <x:c r="L53" s="54" t="n">
        <x:f>L52+IF(E53="L",1,0)</x:f>
        <x:v>33</x:v>
      </x:c>
      <x:c r="M53" s="56" t="n">
        <x:f>B53-B52-1</x:f>
        <x:v>2</x:v>
      </x:c>
      <x:c r="N53" s="54" t="b">
        <x:f>M53=0</x:f>
        <x:v>0</x:v>
      </x:c>
      <x:c r="O53" s="54" t="str">
        <x:v>DIRECT</x:v>
      </x:c>
      <x:c r="P53" s="57" t="b">
        <x:v>0</x:v>
      </x:c>
      <x:c r="Q53" s="58" t="str">
        <x:v>ACTIVE</x:v>
      </x:c>
      <x:c r="R53" s="59" t="n">
        <x:v>15.1</x:v>
      </x:c>
      <x:c r="S53" s="59" t="n">
        <x:v>15.1</x:v>
      </x:c>
      <x:c r="T53" s="59" t="n">
        <x:v>0</x:v>
      </x:c>
      <x:c r="U53" s="60" t="n">
        <x:f>S53-R53-T53</x:f>
        <x:v>0</x:v>
      </x:c>
      <x:c r="V53" s="61" t="str">
        <x:v>HOLD</x:v>
      </x:c>
      <x:c r="W53" s="61" t="str">
        <x:v>HOLD</x:v>
      </x:c>
      <x:c r="X53" s="61" t="str">
        <x:v>OUTCOME_INPUTS_PENDING</x:v>
      </x:c>
      <x:c r="Y53" s="61" t="str">
        <x:v>S01/S02/S03/S40/S44</x:v>
      </x:c>
      <x:c r="Z53" s="61" t="str">
        <x:v>ATL_2018_19_G048</x:v>
      </x:c>
    </x:row>
    <x:row r="54">
      <x:c r="A54" s="54" t="n">
        <x:v>49</x:v>
      </x:c>
      <x:c r="B54" s="55" t="n">
        <x:v>43493.5</x:v>
      </x:c>
      <x:c r="C54" s="54" t="str">
        <x:v>A</x:v>
      </x:c>
      <x:c r="D54" s="54" t="str">
        <x:v>Los Angeles Clippers</x:v>
      </x:c>
      <x:c r="E54" s="54" t="str">
        <x:v>W</x:v>
      </x:c>
      <x:c r="F54" s="54" t="n">
        <x:v>123</x:v>
      </x:c>
      <x:c r="G54" s="54" t="n">
        <x:v>118</x:v>
      </x:c>
      <x:c r="H54" s="54" t="n">
        <x:f>F54-G54</x:f>
        <x:v>5</x:v>
      </x:c>
      <x:c r="I54" s="54" t="n">
        <x:v>0</x:v>
      </x:c>
      <x:c r="J54" s="54" t="n">
        <x:f>240+25*I54</x:f>
        <x:v>240</x:v>
      </x:c>
      <x:c r="K54" s="54" t="n">
        <x:f>K53+IF(E54="W",1,0)</x:f>
        <x:v>16</x:v>
      </x:c>
      <x:c r="L54" s="54" t="n">
        <x:f>L53+IF(E54="L",1,0)</x:f>
        <x:v>33</x:v>
      </x:c>
      <x:c r="M54" s="56" t="n">
        <x:f>B54-B53-1</x:f>
        <x:v>1</x:v>
      </x:c>
      <x:c r="N54" s="54" t="b">
        <x:f>M54=0</x:f>
        <x:v>0</x:v>
      </x:c>
      <x:c r="O54" s="54" t="str">
        <x:v>DIRECT</x:v>
      </x:c>
      <x:c r="P54" s="57" t="b">
        <x:v>0</x:v>
      </x:c>
      <x:c r="Q54" s="58" t="str">
        <x:v>ACTIVE</x:v>
      </x:c>
      <x:c r="R54" s="59" t="n">
        <x:v>10.5</x:v>
      </x:c>
      <x:c r="S54" s="59" t="n">
        <x:v>10.5</x:v>
      </x:c>
      <x:c r="T54" s="59" t="n">
        <x:v>0</x:v>
      </x:c>
      <x:c r="U54" s="60" t="n">
        <x:f>S54-R54-T54</x:f>
        <x:v>0</x:v>
      </x:c>
      <x:c r="V54" s="61" t="str">
        <x:v>HOLD</x:v>
      </x:c>
      <x:c r="W54" s="61" t="str">
        <x:v>HOLD</x:v>
      </x:c>
      <x:c r="X54" s="61" t="str">
        <x:v>OUTCOME_INPUTS_PENDING</x:v>
      </x:c>
      <x:c r="Y54" s="61" t="str">
        <x:v>S01/S02/S03/S40/S44</x:v>
      </x:c>
      <x:c r="Z54" s="61" t="str">
        <x:v>ATL_2018_19_G049</x:v>
      </x:c>
    </x:row>
    <x:row r="55">
      <x:c r="A55" s="54" t="n">
        <x:v>50</x:v>
      </x:c>
      <x:c r="B55" s="55" t="n">
        <x:v>43495.5</x:v>
      </x:c>
      <x:c r="C55" s="54" t="str">
        <x:v>A</x:v>
      </x:c>
      <x:c r="D55" s="54" t="str">
        <x:v>Sacramento Kings</x:v>
      </x:c>
      <x:c r="E55" s="54" t="str">
        <x:v>L</x:v>
      </x:c>
      <x:c r="F55" s="54" t="n">
        <x:v>113</x:v>
      </x:c>
      <x:c r="G55" s="54" t="n">
        <x:v>135</x:v>
      </x:c>
      <x:c r="H55" s="54" t="n">
        <x:f>F55-G55</x:f>
        <x:v>-22</x:v>
      </x:c>
      <x:c r="I55" s="54" t="n">
        <x:v>0</x:v>
      </x:c>
      <x:c r="J55" s="54" t="n">
        <x:f>240+25*I55</x:f>
        <x:v>240</x:v>
      </x:c>
      <x:c r="K55" s="54" t="n">
        <x:f>K54+IF(E55="W",1,0)</x:f>
        <x:v>16</x:v>
      </x:c>
      <x:c r="L55" s="54" t="n">
        <x:f>L54+IF(E55="L",1,0)</x:f>
        <x:v>34</x:v>
      </x:c>
      <x:c r="M55" s="56" t="n">
        <x:f>B55-B54-1</x:f>
        <x:v>1</x:v>
      </x:c>
      <x:c r="N55" s="54" t="b">
        <x:f>M55=0</x:f>
        <x:v>0</x:v>
      </x:c>
      <x:c r="O55" s="54" t="str">
        <x:v>DIRECT</x:v>
      </x:c>
      <x:c r="P55" s="57" t="b">
        <x:v>0</x:v>
      </x:c>
      <x:c r="Q55" s="58" t="str">
        <x:v>ACTIVE</x:v>
      </x:c>
      <x:c r="R55" s="59" t="n">
        <x:v>16</x:v>
      </x:c>
      <x:c r="S55" s="59" t="n">
        <x:v>24.1</x:v>
      </x:c>
      <x:c r="T55" s="59" t="n">
        <x:v>8.1</x:v>
      </x:c>
      <x:c r="U55" s="60" t="n">
        <x:f>S55-R55-T55</x:f>
        <x:v>1.7763568394002505e-15</x:v>
      </x:c>
      <x:c r="V55" s="61" t="str">
        <x:v>HOLD</x:v>
      </x:c>
      <x:c r="W55" s="61" t="str">
        <x:v>HOLD</x:v>
      </x:c>
      <x:c r="X55" s="61" t="str">
        <x:v>OUTCOME_INPUTS_PENDING</x:v>
      </x:c>
      <x:c r="Y55" s="61" t="str">
        <x:v>S01/S02/S03/S40/S44</x:v>
      </x:c>
      <x:c r="Z55" s="61" t="str">
        <x:v>ATL_2018_19_G050</x:v>
      </x:c>
    </x:row>
    <x:row r="56">
      <x:c r="A56" s="54" t="n">
        <x:v>51</x:v>
      </x:c>
      <x:c r="B56" s="55" t="n">
        <x:v>43497.5</x:v>
      </x:c>
      <x:c r="C56" s="54" t="str">
        <x:v>A</x:v>
      </x:c>
      <x:c r="D56" s="54" t="str">
        <x:v>Utah Jazz</x:v>
      </x:c>
      <x:c r="E56" s="54" t="str">
        <x:v>L</x:v>
      </x:c>
      <x:c r="F56" s="54" t="n">
        <x:v>112</x:v>
      </x:c>
      <x:c r="G56" s="54" t="n">
        <x:v>128</x:v>
      </x:c>
      <x:c r="H56" s="54" t="n">
        <x:f>F56-G56</x:f>
        <x:v>-16</x:v>
      </x:c>
      <x:c r="I56" s="54" t="n">
        <x:v>0</x:v>
      </x:c>
      <x:c r="J56" s="54" t="n">
        <x:f>240+25*I56</x:f>
        <x:v>240</x:v>
      </x:c>
      <x:c r="K56" s="54" t="n">
        <x:f>K55+IF(E56="W",1,0)</x:f>
        <x:v>16</x:v>
      </x:c>
      <x:c r="L56" s="54" t="n">
        <x:f>L55+IF(E56="L",1,0)</x:f>
        <x:v>35</x:v>
      </x:c>
      <x:c r="M56" s="56" t="n">
        <x:f>B56-B55-1</x:f>
        <x:v>1</x:v>
      </x:c>
      <x:c r="N56" s="54" t="b">
        <x:f>M56=0</x:f>
        <x:v>0</x:v>
      </x:c>
      <x:c r="O56" s="54" t="str">
        <x:v>DIRECT</x:v>
      </x:c>
      <x:c r="P56" s="57" t="b">
        <x:v>0</x:v>
      </x:c>
      <x:c r="Q56" s="58" t="str">
        <x:v>ACTIVE</x:v>
      </x:c>
      <x:c r="R56" s="59" t="n">
        <x:v>16</x:v>
      </x:c>
      <x:c r="S56" s="59" t="n">
        <x:v>18.7</x:v>
      </x:c>
      <x:c r="T56" s="59" t="n">
        <x:v>2.7</x:v>
      </x:c>
      <x:c r="U56" s="60" t="n">
        <x:f>S56-R56-T56</x:f>
        <x:v>-8.881784197001252e-16</x:v>
      </x:c>
      <x:c r="V56" s="61" t="str">
        <x:v>HOLD</x:v>
      </x:c>
      <x:c r="W56" s="61" t="str">
        <x:v>HOLD</x:v>
      </x:c>
      <x:c r="X56" s="61" t="str">
        <x:v>OUTCOME_INPUTS_PENDING</x:v>
      </x:c>
      <x:c r="Y56" s="61" t="str">
        <x:v>S01/S02/S03/S40/S44</x:v>
      </x:c>
      <x:c r="Z56" s="61" t="str">
        <x:v>ATL_2018_19_G051</x:v>
      </x:c>
    </x:row>
    <x:row r="57">
      <x:c r="A57" s="54" t="n">
        <x:v>52</x:v>
      </x:c>
      <x:c r="B57" s="55" t="n">
        <x:v>43498.5</x:v>
      </x:c>
      <x:c r="C57" s="54" t="str">
        <x:v>A</x:v>
      </x:c>
      <x:c r="D57" s="54" t="str">
        <x:v>Phoenix Suns</x:v>
      </x:c>
      <x:c r="E57" s="54" t="str">
        <x:v>W</x:v>
      </x:c>
      <x:c r="F57" s="54" t="n">
        <x:v>118</x:v>
      </x:c>
      <x:c r="G57" s="54" t="n">
        <x:v>112</x:v>
      </x:c>
      <x:c r="H57" s="54" t="n">
        <x:f>F57-G57</x:f>
        <x:v>6</x:v>
      </x:c>
      <x:c r="I57" s="54" t="n">
        <x:v>0</x:v>
      </x:c>
      <x:c r="J57" s="54" t="n">
        <x:f>240+25*I57</x:f>
        <x:v>240</x:v>
      </x:c>
      <x:c r="K57" s="54" t="n">
        <x:f>K56+IF(E57="W",1,0)</x:f>
        <x:v>17</x:v>
      </x:c>
      <x:c r="L57" s="54" t="n">
        <x:f>L56+IF(E57="L",1,0)</x:f>
        <x:v>35</x:v>
      </x:c>
      <x:c r="M57" s="56" t="n">
        <x:f>B57-B56-1</x:f>
        <x:v>0</x:v>
      </x:c>
      <x:c r="N57" s="54" t="b">
        <x:f>M57=0</x:f>
        <x:v>1</x:v>
      </x:c>
      <x:c r="O57" s="54" t="str">
        <x:v>DIRECT</x:v>
      </x:c>
      <x:c r="P57" s="57" t="b">
        <x:v>0</x:v>
      </x:c>
      <x:c r="Q57" s="58" t="str">
        <x:v>ACTIVE</x:v>
      </x:c>
      <x:c r="R57" s="59" t="n">
        <x:v>7.1</x:v>
      </x:c>
      <x:c r="S57" s="59" t="n">
        <x:v>7.1</x:v>
      </x:c>
      <x:c r="T57" s="59" t="n">
        <x:v>0</x:v>
      </x:c>
      <x:c r="U57" s="60" t="n">
        <x:f>S57-R57-T57</x:f>
        <x:v>0</x:v>
      </x:c>
      <x:c r="V57" s="61" t="str">
        <x:v>HOLD</x:v>
      </x:c>
      <x:c r="W57" s="61" t="str">
        <x:v>HOLD</x:v>
      </x:c>
      <x:c r="X57" s="61" t="str">
        <x:v>OUTCOME_INPUTS_PENDING</x:v>
      </x:c>
      <x:c r="Y57" s="61" t="str">
        <x:v>S01/S02/S03/S40/S44</x:v>
      </x:c>
      <x:c r="Z57" s="61" t="str">
        <x:v>ATL_2018_19_G052</x:v>
      </x:c>
    </x:row>
    <x:row r="58">
      <x:c r="A58" s="54" t="n">
        <x:v>53</x:v>
      </x:c>
      <x:c r="B58" s="55" t="n">
        <x:v>43500.5</x:v>
      </x:c>
      <x:c r="C58" s="54" t="str">
        <x:v>A</x:v>
      </x:c>
      <x:c r="D58" s="54" t="str">
        <x:v>Washington Wizards</x:v>
      </x:c>
      <x:c r="E58" s="54" t="str">
        <x:v>W</x:v>
      </x:c>
      <x:c r="F58" s="54" t="n">
        <x:v>137</x:v>
      </x:c>
      <x:c r="G58" s="54" t="n">
        <x:v>129</x:v>
      </x:c>
      <x:c r="H58" s="54" t="n">
        <x:f>F58-G58</x:f>
        <x:v>8</x:v>
      </x:c>
      <x:c r="I58" s="54" t="n">
        <x:v>0</x:v>
      </x:c>
      <x:c r="J58" s="54" t="n">
        <x:f>240+25*I58</x:f>
        <x:v>240</x:v>
      </x:c>
      <x:c r="K58" s="54" t="n">
        <x:f>K57+IF(E58="W",1,0)</x:f>
        <x:v>18</x:v>
      </x:c>
      <x:c r="L58" s="54" t="n">
        <x:f>L57+IF(E58="L",1,0)</x:f>
        <x:v>35</x:v>
      </x:c>
      <x:c r="M58" s="56" t="n">
        <x:f>B58-B57-1</x:f>
        <x:v>1</x:v>
      </x:c>
      <x:c r="N58" s="54" t="b">
        <x:f>M58=0</x:f>
        <x:v>0</x:v>
      </x:c>
      <x:c r="O58" s="54" t="str">
        <x:v>DIRECT</x:v>
      </x:c>
      <x:c r="P58" s="57" t="b">
        <x:v>0</x:v>
      </x:c>
      <x:c r="Q58" s="58" t="str">
        <x:v>ACTIVE</x:v>
      </x:c>
      <x:c r="R58" s="59" t="n">
        <x:v>16</x:v>
      </x:c>
      <x:c r="S58" s="59" t="n">
        <x:v>29.9</x:v>
      </x:c>
      <x:c r="T58" s="59" t="n">
        <x:v>13.9</x:v>
      </x:c>
      <x:c r="U58" s="60" t="n">
        <x:f>S58-R58-T58</x:f>
        <x:v>-1.7763568394002505e-15</x:v>
      </x:c>
      <x:c r="V58" s="61" t="str">
        <x:v>HOLD</x:v>
      </x:c>
      <x:c r="W58" s="61" t="str">
        <x:v>HOLD</x:v>
      </x:c>
      <x:c r="X58" s="61" t="str">
        <x:v>OUTCOME_INPUTS_PENDING</x:v>
      </x:c>
      <x:c r="Y58" s="61" t="str">
        <x:v>S01/S02/S03/S40/S44</x:v>
      </x:c>
      <x:c r="Z58" s="61" t="str">
        <x:v>ATL_2018_19_G053</x:v>
      </x:c>
    </x:row>
    <x:row r="59">
      <x:c r="A59" s="54" t="n">
        <x:v>54</x:v>
      </x:c>
      <x:c r="B59" s="55" t="n">
        <x:v>43503.5</x:v>
      </x:c>
      <x:c r="C59" s="54" t="str">
        <x:v>H</x:v>
      </x:c>
      <x:c r="D59" s="54" t="str">
        <x:v>Toronto Raptors</x:v>
      </x:c>
      <x:c r="E59" s="54" t="str">
        <x:v>L</x:v>
      </x:c>
      <x:c r="F59" s="54" t="n">
        <x:v>101</x:v>
      </x:c>
      <x:c r="G59" s="54" t="n">
        <x:v>119</x:v>
      </x:c>
      <x:c r="H59" s="54" t="n">
        <x:f>F59-G59</x:f>
        <x:v>-18</x:v>
      </x:c>
      <x:c r="I59" s="54" t="n">
        <x:v>0</x:v>
      </x:c>
      <x:c r="J59" s="54" t="n">
        <x:f>240+25*I59</x:f>
        <x:v>240</x:v>
      </x:c>
      <x:c r="K59" s="54" t="n">
        <x:f>K58+IF(E59="W",1,0)</x:f>
        <x:v>18</x:v>
      </x:c>
      <x:c r="L59" s="54" t="n">
        <x:f>L58+IF(E59="L",1,0)</x:f>
        <x:v>36</x:v>
      </x:c>
      <x:c r="M59" s="56" t="n">
        <x:f>B59-B58-1</x:f>
        <x:v>2</x:v>
      </x:c>
      <x:c r="N59" s="54" t="b">
        <x:f>M59=0</x:f>
        <x:v>0</x:v>
      </x:c>
      <x:c r="O59" s="54" t="str">
        <x:v>DIRECT</x:v>
      </x:c>
      <x:c r="P59" s="57" t="b">
        <x:v>0</x:v>
      </x:c>
      <x:c r="Q59" s="58" t="str">
        <x:v>ACTIVE</x:v>
      </x:c>
      <x:c r="R59" s="59" t="n">
        <x:v>15.3</x:v>
      </x:c>
      <x:c r="S59" s="59" t="n">
        <x:v>15.3</x:v>
      </x:c>
      <x:c r="T59" s="59" t="n">
        <x:v>0</x:v>
      </x:c>
      <x:c r="U59" s="60" t="n">
        <x:f>S59-R59-T59</x:f>
        <x:v>0</x:v>
      </x:c>
      <x:c r="V59" s="61" t="str">
        <x:v>HOLD</x:v>
      </x:c>
      <x:c r="W59" s="61" t="str">
        <x:v>HOLD</x:v>
      </x:c>
      <x:c r="X59" s="61" t="str">
        <x:v>OUTCOME_INPUTS_PENDING</x:v>
      </x:c>
      <x:c r="Y59" s="61" t="str">
        <x:v>S01/S02/S03/S40/S44</x:v>
      </x:c>
      <x:c r="Z59" s="61" t="str">
        <x:v>ATL_2018_19_G054</x:v>
      </x:c>
    </x:row>
    <x:row r="60">
      <x:c r="A60" s="54" t="n">
        <x:v>55</x:v>
      </x:c>
      <x:c r="B60" s="55" t="n">
        <x:v>43505.5</x:v>
      </x:c>
      <x:c r="C60" s="54" t="str">
        <x:v>H</x:v>
      </x:c>
      <x:c r="D60" s="54" t="str">
        <x:v>Charlotte Hornets</x:v>
      </x:c>
      <x:c r="E60" s="54" t="str">
        <x:v>L</x:v>
      </x:c>
      <x:c r="F60" s="54" t="n">
        <x:v>120</x:v>
      </x:c>
      <x:c r="G60" s="54" t="n">
        <x:v>129</x:v>
      </x:c>
      <x:c r="H60" s="54" t="n">
        <x:f>F60-G60</x:f>
        <x:v>-9</x:v>
      </x:c>
      <x:c r="I60" s="54" t="n">
        <x:v>0</x:v>
      </x:c>
      <x:c r="J60" s="54" t="n">
        <x:f>240+25*I60</x:f>
        <x:v>240</x:v>
      </x:c>
      <x:c r="K60" s="54" t="n">
        <x:f>K59+IF(E60="W",1,0)</x:f>
        <x:v>18</x:v>
      </x:c>
      <x:c r="L60" s="54" t="n">
        <x:f>L59+IF(E60="L",1,0)</x:f>
        <x:v>37</x:v>
      </x:c>
      <x:c r="M60" s="56" t="n">
        <x:f>B60-B59-1</x:f>
        <x:v>1</x:v>
      </x:c>
      <x:c r="N60" s="54" t="b">
        <x:f>M60=0</x:f>
        <x:v>0</x:v>
      </x:c>
      <x:c r="O60" s="54" t="str">
        <x:v>DIRECT</x:v>
      </x:c>
      <x:c r="P60" s="57" t="b">
        <x:v>0</x:v>
      </x:c>
      <x:c r="Q60" s="58" t="str">
        <x:v>ACTIVE</x:v>
      </x:c>
      <x:c r="R60" s="59" t="n">
        <x:v>11.9</x:v>
      </x:c>
      <x:c r="S60" s="59" t="n">
        <x:v>11.9</x:v>
      </x:c>
      <x:c r="T60" s="59" t="n">
        <x:v>0</x:v>
      </x:c>
      <x:c r="U60" s="60" t="n">
        <x:f>S60-R60-T60</x:f>
        <x:v>0</x:v>
      </x:c>
      <x:c r="V60" s="61" t="str">
        <x:v>HOLD</x:v>
      </x:c>
      <x:c r="W60" s="61" t="str">
        <x:v>HOLD</x:v>
      </x:c>
      <x:c r="X60" s="61" t="str">
        <x:v>OUTCOME_INPUTS_PENDING</x:v>
      </x:c>
      <x:c r="Y60" s="61" t="str">
        <x:v>S01/S02/S03/S40/S44</x:v>
      </x:c>
      <x:c r="Z60" s="61" t="str">
        <x:v>ATL_2018_19_G055</x:v>
      </x:c>
    </x:row>
    <x:row r="61">
      <x:c r="A61" s="54" t="n">
        <x:v>56</x:v>
      </x:c>
      <x:c r="B61" s="55" t="n">
        <x:v>43506.5</x:v>
      </x:c>
      <x:c r="C61" s="54" t="str">
        <x:v>H</x:v>
      </x:c>
      <x:c r="D61" s="54" t="str">
        <x:v>Orlando Magic</x:v>
      </x:c>
      <x:c r="E61" s="54" t="str">
        <x:v>L</x:v>
      </x:c>
      <x:c r="F61" s="54" t="n">
        <x:v>108</x:v>
      </x:c>
      <x:c r="G61" s="54" t="n">
        <x:v>124</x:v>
      </x:c>
      <x:c r="H61" s="54" t="n">
        <x:f>F61-G61</x:f>
        <x:v>-16</x:v>
      </x:c>
      <x:c r="I61" s="54" t="n">
        <x:v>0</x:v>
      </x:c>
      <x:c r="J61" s="54" t="n">
        <x:f>240+25*I61</x:f>
        <x:v>240</x:v>
      </x:c>
      <x:c r="K61" s="54" t="n">
        <x:f>K60+IF(E61="W",1,0)</x:f>
        <x:v>18</x:v>
      </x:c>
      <x:c r="L61" s="54" t="n">
        <x:f>L60+IF(E61="L",1,0)</x:f>
        <x:v>38</x:v>
      </x:c>
      <x:c r="M61" s="56" t="n">
        <x:f>B61-B60-1</x:f>
        <x:v>0</x:v>
      </x:c>
      <x:c r="N61" s="54" t="b">
        <x:f>M61=0</x:f>
        <x:v>1</x:v>
      </x:c>
      <x:c r="O61" s="54" t="str">
        <x:v>DIRECT</x:v>
      </x:c>
      <x:c r="P61" s="57" t="b">
        <x:v>0</x:v>
      </x:c>
      <x:c r="Q61" s="58" t="str">
        <x:v>ACTIVE</x:v>
      </x:c>
      <x:c r="R61" s="59" t="n">
        <x:v>16</x:v>
      </x:c>
      <x:c r="S61" s="59" t="n">
        <x:v>26.3</x:v>
      </x:c>
      <x:c r="T61" s="59" t="n">
        <x:v>10.3</x:v>
      </x:c>
      <x:c r="U61" s="60" t="n">
        <x:f>S61-R61-T61</x:f>
        <x:v>0</x:v>
      </x:c>
      <x:c r="V61" s="61" t="str">
        <x:v>HOLD</x:v>
      </x:c>
      <x:c r="W61" s="61" t="str">
        <x:v>HOLD</x:v>
      </x:c>
      <x:c r="X61" s="61" t="str">
        <x:v>OUTCOME_INPUTS_PENDING</x:v>
      </x:c>
      <x:c r="Y61" s="61" t="str">
        <x:v>S01/S02/S03/S40/S44</x:v>
      </x:c>
      <x:c r="Z61" s="61" t="str">
        <x:v>ATL_2018_19_G056</x:v>
      </x:c>
    </x:row>
    <x:row r="62">
      <x:c r="A62" s="54" t="n">
        <x:v>57</x:v>
      </x:c>
      <x:c r="B62" s="55" t="n">
        <x:v>43508.5</x:v>
      </x:c>
      <x:c r="C62" s="54" t="str">
        <x:v>H</x:v>
      </x:c>
      <x:c r="D62" s="54" t="str">
        <x:v>Los Angeles Lakers</x:v>
      </x:c>
      <x:c r="E62" s="54" t="str">
        <x:v>W</x:v>
      </x:c>
      <x:c r="F62" s="54" t="n">
        <x:v>117</x:v>
      </x:c>
      <x:c r="G62" s="54" t="n">
        <x:v>113</x:v>
      </x:c>
      <x:c r="H62" s="54" t="n">
        <x:f>F62-G62</x:f>
        <x:v>4</x:v>
      </x:c>
      <x:c r="I62" s="54" t="n">
        <x:v>0</x:v>
      </x:c>
      <x:c r="J62" s="54" t="n">
        <x:f>240+25*I62</x:f>
        <x:v>240</x:v>
      </x:c>
      <x:c r="K62" s="54" t="n">
        <x:f>K61+IF(E62="W",1,0)</x:f>
        <x:v>19</x:v>
      </x:c>
      <x:c r="L62" s="54" t="n">
        <x:f>L61+IF(E62="L",1,0)</x:f>
        <x:v>38</x:v>
      </x:c>
      <x:c r="M62" s="56" t="n">
        <x:f>B62-B61-1</x:f>
        <x:v>1</x:v>
      </x:c>
      <x:c r="N62" s="54" t="b">
        <x:f>M62=0</x:f>
        <x:v>0</x:v>
      </x:c>
      <x:c r="O62" s="54" t="str">
        <x:v>DIRECT</x:v>
      </x:c>
      <x:c r="P62" s="57" t="b">
        <x:v>0</x:v>
      </x:c>
      <x:c r="Q62" s="58" t="str">
        <x:v>ACTIVE</x:v>
      </x:c>
      <x:c r="R62" s="59" t="n">
        <x:v>13.7</x:v>
      </x:c>
      <x:c r="S62" s="59" t="n">
        <x:v>13.7</x:v>
      </x:c>
      <x:c r="T62" s="59" t="n">
        <x:v>0</x:v>
      </x:c>
      <x:c r="U62" s="60" t="n">
        <x:f>S62-R62-T62</x:f>
        <x:v>0</x:v>
      </x:c>
      <x:c r="V62" s="61" t="str">
        <x:v>HOLD</x:v>
      </x:c>
      <x:c r="W62" s="61" t="str">
        <x:v>HOLD</x:v>
      </x:c>
      <x:c r="X62" s="61" t="str">
        <x:v>OUTCOME_INPUTS_PENDING</x:v>
      </x:c>
      <x:c r="Y62" s="61" t="str">
        <x:v>S01/S02/S03/S40/S44</x:v>
      </x:c>
      <x:c r="Z62" s="61" t="str">
        <x:v>ATL_2018_19_G057</x:v>
      </x:c>
    </x:row>
    <x:row r="63">
      <x:c r="A63" s="54" t="n">
        <x:v>58</x:v>
      </x:c>
      <x:c r="B63" s="55" t="n">
        <x:v>43510.5</x:v>
      </x:c>
      <x:c r="C63" s="54" t="str">
        <x:v>H</x:v>
      </x:c>
      <x:c r="D63" s="54" t="str">
        <x:v>New York Knicks</x:v>
      </x:c>
      <x:c r="E63" s="54" t="str">
        <x:v>L</x:v>
      </x:c>
      <x:c r="F63" s="54" t="n">
        <x:v>91</x:v>
      </x:c>
      <x:c r="G63" s="54" t="n">
        <x:v>106</x:v>
      </x:c>
      <x:c r="H63" s="54" t="n">
        <x:f>F63-G63</x:f>
        <x:v>-15</x:v>
      </x:c>
      <x:c r="I63" s="54" t="n">
        <x:v>0</x:v>
      </x:c>
      <x:c r="J63" s="54" t="n">
        <x:f>240+25*I63</x:f>
        <x:v>240</x:v>
      </x:c>
      <x:c r="K63" s="54" t="n">
        <x:f>K62+IF(E63="W",1,0)</x:f>
        <x:v>19</x:v>
      </x:c>
      <x:c r="L63" s="54" t="n">
        <x:f>L62+IF(E63="L",1,0)</x:f>
        <x:v>39</x:v>
      </x:c>
      <x:c r="M63" s="56" t="n">
        <x:f>B63-B62-1</x:f>
        <x:v>1</x:v>
      </x:c>
      <x:c r="N63" s="54" t="b">
        <x:f>M63=0</x:f>
        <x:v>0</x:v>
      </x:c>
      <x:c r="O63" s="54" t="str">
        <x:v>DIRECT</x:v>
      </x:c>
      <x:c r="P63" s="57" t="b">
        <x:v>0</x:v>
      </x:c>
      <x:c r="Q63" s="58" t="str">
        <x:v>ACTIVE</x:v>
      </x:c>
      <x:c r="R63" s="59" t="n">
        <x:v>16</x:v>
      </x:c>
      <x:c r="S63" s="59" t="n">
        <x:v>17.1</x:v>
      </x:c>
      <x:c r="T63" s="59" t="n">
        <x:v>1.1</x:v>
      </x:c>
      <x:c r="U63" s="60" t="n">
        <x:f>S63-R63-T63</x:f>
        <x:v>1.3322676295501878e-15</x:v>
      </x:c>
      <x:c r="V63" s="61" t="str">
        <x:v>HOLD</x:v>
      </x:c>
      <x:c r="W63" s="61" t="str">
        <x:v>HOLD</x:v>
      </x:c>
      <x:c r="X63" s="61" t="str">
        <x:v>OUTCOME_INPUTS_PENDING</x:v>
      </x:c>
      <x:c r="Y63" s="61" t="str">
        <x:v>S01/S02/S03/S40/S44</x:v>
      </x:c>
      <x:c r="Z63" s="61" t="str">
        <x:v>ATL_2018_19_G058</x:v>
      </x:c>
    </x:row>
    <x:row r="64">
      <x:c r="A64" s="54" t="n">
        <x:v>59</x:v>
      </x:c>
      <x:c r="B64" s="55" t="n">
        <x:v>43518.5</x:v>
      </x:c>
      <x:c r="C64" s="54" t="str">
        <x:v>H</x:v>
      </x:c>
      <x:c r="D64" s="54" t="str">
        <x:v>Detroit Pistons</x:v>
      </x:c>
      <x:c r="E64" s="54" t="str">
        <x:v>L</x:v>
      </x:c>
      <x:c r="F64" s="54" t="n">
        <x:v>122</x:v>
      </x:c>
      <x:c r="G64" s="54" t="n">
        <x:v>125</x:v>
      </x:c>
      <x:c r="H64" s="54" t="n">
        <x:f>F64-G64</x:f>
        <x:v>-3</x:v>
      </x:c>
      <x:c r="I64" s="54" t="n">
        <x:v>0</x:v>
      </x:c>
      <x:c r="J64" s="54" t="n">
        <x:f>240+25*I64</x:f>
        <x:v>240</x:v>
      </x:c>
      <x:c r="K64" s="54" t="n">
        <x:f>K63+IF(E64="W",1,0)</x:f>
        <x:v>19</x:v>
      </x:c>
      <x:c r="L64" s="54" t="n">
        <x:f>L63+IF(E64="L",1,0)</x:f>
        <x:v>40</x:v>
      </x:c>
      <x:c r="M64" s="56" t="n">
        <x:f>B64-B63-1</x:f>
        <x:v>7</x:v>
      </x:c>
      <x:c r="N64" s="54" t="b">
        <x:f>M64=0</x:f>
        <x:v>0</x:v>
      </x:c>
      <x:c r="O64" s="54" t="str">
        <x:v>DIRECT</x:v>
      </x:c>
      <x:c r="P64" s="57" t="b">
        <x:v>0</x:v>
      </x:c>
      <x:c r="Q64" s="58" t="str">
        <x:v>ACTIVE</x:v>
      </x:c>
      <x:c r="R64" s="59" t="n">
        <x:v>16</x:v>
      </x:c>
      <x:c r="S64" s="59" t="n">
        <x:v>18.7</x:v>
      </x:c>
      <x:c r="T64" s="59" t="n">
        <x:v>2.7</x:v>
      </x:c>
      <x:c r="U64" s="60" t="n">
        <x:f>S64-R64-T64</x:f>
        <x:v>-8.881784197001252e-16</x:v>
      </x:c>
      <x:c r="V64" s="61" t="str">
        <x:v>HOLD</x:v>
      </x:c>
      <x:c r="W64" s="61" t="str">
        <x:v>HOLD</x:v>
      </x:c>
      <x:c r="X64" s="61" t="str">
        <x:v>OUTCOME_INPUTS_PENDING</x:v>
      </x:c>
      <x:c r="Y64" s="61" t="str">
        <x:v>S01/S02/S03/S40/S44</x:v>
      </x:c>
      <x:c r="Z64" s="61" t="str">
        <x:v>ATL_2018_19_G059</x:v>
      </x:c>
    </x:row>
    <x:row r="65">
      <x:c r="A65" s="54" t="n">
        <x:v>60</x:v>
      </x:c>
      <x:c r="B65" s="55" t="n">
        <x:v>43519.5</x:v>
      </x:c>
      <x:c r="C65" s="54" t="str">
        <x:v>H</x:v>
      </x:c>
      <x:c r="D65" s="54" t="str">
        <x:v>Phoenix Suns</x:v>
      </x:c>
      <x:c r="E65" s="54" t="str">
        <x:v>W</x:v>
      </x:c>
      <x:c r="F65" s="54" t="n">
        <x:v>120</x:v>
      </x:c>
      <x:c r="G65" s="54" t="n">
        <x:v>112</x:v>
      </x:c>
      <x:c r="H65" s="54" t="n">
        <x:f>F65-G65</x:f>
        <x:v>8</x:v>
      </x:c>
      <x:c r="I65" s="54" t="n">
        <x:v>0</x:v>
      </x:c>
      <x:c r="J65" s="54" t="n">
        <x:f>240+25*I65</x:f>
        <x:v>240</x:v>
      </x:c>
      <x:c r="K65" s="54" t="n">
        <x:f>K64+IF(E65="W",1,0)</x:f>
        <x:v>20</x:v>
      </x:c>
      <x:c r="L65" s="54" t="n">
        <x:f>L64+IF(E65="L",1,0)</x:f>
        <x:v>40</x:v>
      </x:c>
      <x:c r="M65" s="56" t="n">
        <x:f>B65-B64-1</x:f>
        <x:v>0</x:v>
      </x:c>
      <x:c r="N65" s="54" t="b">
        <x:f>M65=0</x:f>
        <x:v>1</x:v>
      </x:c>
      <x:c r="O65" s="54" t="str">
        <x:v>DIRECT</x:v>
      </x:c>
      <x:c r="P65" s="57" t="b">
        <x:v>0</x:v>
      </x:c>
      <x:c r="Q65" s="58" t="str">
        <x:v>ACTIVE</x:v>
      </x:c>
      <x:c r="R65" s="59" t="n">
        <x:v>16</x:v>
      </x:c>
      <x:c r="S65" s="59" t="n">
        <x:v>21.5</x:v>
      </x:c>
      <x:c r="T65" s="59" t="n">
        <x:v>5.5</x:v>
      </x:c>
      <x:c r="U65" s="60" t="n">
        <x:f>S65-R65-T65</x:f>
        <x:v>0</x:v>
      </x:c>
      <x:c r="V65" s="61" t="str">
        <x:v>HOLD</x:v>
      </x:c>
      <x:c r="W65" s="61" t="str">
        <x:v>HOLD</x:v>
      </x:c>
      <x:c r="X65" s="61" t="str">
        <x:v>OUTCOME_INPUTS_PENDING</x:v>
      </x:c>
      <x:c r="Y65" s="61" t="str">
        <x:v>S01/S02/S03/S40/S44</x:v>
      </x:c>
      <x:c r="Z65" s="61" t="str">
        <x:v>ATL_2018_19_G060</x:v>
      </x:c>
    </x:row>
    <x:row r="66">
      <x:c r="A66" s="54" t="n">
        <x:v>61</x:v>
      </x:c>
      <x:c r="B66" s="55" t="n">
        <x:v>43521.5</x:v>
      </x:c>
      <x:c r="C66" s="54" t="str">
        <x:v>A</x:v>
      </x:c>
      <x:c r="D66" s="54" t="str">
        <x:v>Houston Rockets</x:v>
      </x:c>
      <x:c r="E66" s="54" t="str">
        <x:v>L</x:v>
      </x:c>
      <x:c r="F66" s="54" t="n">
        <x:v>111</x:v>
      </x:c>
      <x:c r="G66" s="54" t="n">
        <x:v>119</x:v>
      </x:c>
      <x:c r="H66" s="54" t="n">
        <x:f>F66-G66</x:f>
        <x:v>-8</x:v>
      </x:c>
      <x:c r="I66" s="54" t="n">
        <x:v>0</x:v>
      </x:c>
      <x:c r="J66" s="54" t="n">
        <x:f>240+25*I66</x:f>
        <x:v>240</x:v>
      </x:c>
      <x:c r="K66" s="54" t="n">
        <x:f>K65+IF(E66="W",1,0)</x:f>
        <x:v>20</x:v>
      </x:c>
      <x:c r="L66" s="54" t="n">
        <x:f>L65+IF(E66="L",1,0)</x:f>
        <x:v>41</x:v>
      </x:c>
      <x:c r="M66" s="56" t="n">
        <x:f>B66-B65-1</x:f>
        <x:v>1</x:v>
      </x:c>
      <x:c r="N66" s="54" t="b">
        <x:f>M66=0</x:f>
        <x:v>0</x:v>
      </x:c>
      <x:c r="O66" s="54" t="str">
        <x:v>DIRECT</x:v>
      </x:c>
      <x:c r="P66" s="57" t="b">
        <x:v>0</x:v>
      </x:c>
      <x:c r="Q66" s="58" t="str">
        <x:v>ACTIVE</x:v>
      </x:c>
      <x:c r="R66" s="59" t="n">
        <x:v>16</x:v>
      </x:c>
      <x:c r="S66" s="59" t="n">
        <x:v>20</x:v>
      </x:c>
      <x:c r="T66" s="59" t="n">
        <x:v>4</x:v>
      </x:c>
      <x:c r="U66" s="60" t="n">
        <x:f>S66-R66-T66</x:f>
        <x:v>0</x:v>
      </x:c>
      <x:c r="V66" s="61" t="str">
        <x:v>HOLD</x:v>
      </x:c>
      <x:c r="W66" s="61" t="str">
        <x:v>HOLD</x:v>
      </x:c>
      <x:c r="X66" s="61" t="str">
        <x:v>OUTCOME_INPUTS_PENDING</x:v>
      </x:c>
      <x:c r="Y66" s="61" t="str">
        <x:v>S01/S02/S03/S40/S44</x:v>
      </x:c>
      <x:c r="Z66" s="61" t="str">
        <x:v>ATL_2018_19_G061</x:v>
      </x:c>
    </x:row>
    <x:row r="67">
      <x:c r="A67" s="54" t="n">
        <x:v>62</x:v>
      </x:c>
      <x:c r="B67" s="55" t="n">
        <x:v>43523.5</x:v>
      </x:c>
      <x:c r="C67" s="54" t="str">
        <x:v>H</x:v>
      </x:c>
      <x:c r="D67" s="54" t="str">
        <x:v>Minnesota Timberwolves</x:v>
      </x:c>
      <x:c r="E67" s="54" t="str">
        <x:v>W</x:v>
      </x:c>
      <x:c r="F67" s="54" t="n">
        <x:v>131</x:v>
      </x:c>
      <x:c r="G67" s="54" t="n">
        <x:v>123</x:v>
      </x:c>
      <x:c r="H67" s="54" t="n">
        <x:f>F67-G67</x:f>
        <x:v>8</x:v>
      </x:c>
      <x:c r="I67" s="54" t="n">
        <x:v>1</x:v>
      </x:c>
      <x:c r="J67" s="54" t="n">
        <x:f>240+25*I67</x:f>
        <x:v>265</x:v>
      </x:c>
      <x:c r="K67" s="54" t="n">
        <x:f>K66+IF(E67="W",1,0)</x:f>
        <x:v>21</x:v>
      </x:c>
      <x:c r="L67" s="54" t="n">
        <x:f>L66+IF(E67="L",1,0)</x:f>
        <x:v>41</x:v>
      </x:c>
      <x:c r="M67" s="56" t="n">
        <x:f>B67-B66-1</x:f>
        <x:v>1</x:v>
      </x:c>
      <x:c r="N67" s="54" t="b">
        <x:f>M67=0</x:f>
        <x:v>0</x:v>
      </x:c>
      <x:c r="O67" s="54" t="str">
        <x:v>DIRECT</x:v>
      </x:c>
      <x:c r="P67" s="57" t="b">
        <x:v>0</x:v>
      </x:c>
      <x:c r="Q67" s="58" t="str">
        <x:v>ACTIVE</x:v>
      </x:c>
      <x:c r="R67" s="59" t="n">
        <x:v>16</x:v>
      </x:c>
      <x:c r="S67" s="59" t="n">
        <x:v>19.4</x:v>
      </x:c>
      <x:c r="T67" s="59" t="n">
        <x:v>3.4</x:v>
      </x:c>
      <x:c r="U67" s="60" t="n">
        <x:f>S67-R67-T67</x:f>
        <x:v>-1.3322676295501878e-15</x:v>
      </x:c>
      <x:c r="V67" s="61" t="str">
        <x:v>HOLD</x:v>
      </x:c>
      <x:c r="W67" s="61" t="str">
        <x:v>HOLD</x:v>
      </x:c>
      <x:c r="X67" s="61" t="str">
        <x:v>OUTCOME_INPUTS_PENDING</x:v>
      </x:c>
      <x:c r="Y67" s="61" t="str">
        <x:v>S01/S02/S03/S40/S44</x:v>
      </x:c>
      <x:c r="Z67" s="61" t="str">
        <x:v>ATL_2018_19_G062</x:v>
      </x:c>
    </x:row>
    <x:row r="68">
      <x:c r="A68" s="54" t="n">
        <x:v>63</x:v>
      </x:c>
      <x:c r="B68" s="55" t="n">
        <x:v>43525.5</x:v>
      </x:c>
      <x:c r="C68" s="54" t="str">
        <x:v>H</x:v>
      </x:c>
      <x:c r="D68" s="54" t="str">
        <x:v>Chicago Bulls</x:v>
      </x:c>
      <x:c r="E68" s="54" t="str">
        <x:v>L</x:v>
      </x:c>
      <x:c r="F68" s="54" t="n">
        <x:v>161</x:v>
      </x:c>
      <x:c r="G68" s="54" t="n">
        <x:v>168</x:v>
      </x:c>
      <x:c r="H68" s="54" t="n">
        <x:f>F68-G68</x:f>
        <x:v>-7</x:v>
      </x:c>
      <x:c r="I68" s="54" t="n">
        <x:v>4</x:v>
      </x:c>
      <x:c r="J68" s="54" t="n">
        <x:f>240+25*I68</x:f>
        <x:v>340</x:v>
      </x:c>
      <x:c r="K68" s="54" t="n">
        <x:f>K67+IF(E68="W",1,0)</x:f>
        <x:v>21</x:v>
      </x:c>
      <x:c r="L68" s="54" t="n">
        <x:f>L67+IF(E68="L",1,0)</x:f>
        <x:v>42</x:v>
      </x:c>
      <x:c r="M68" s="56" t="n">
        <x:f>B68-B67-1</x:f>
        <x:v>1</x:v>
      </x:c>
      <x:c r="N68" s="54" t="b">
        <x:f>M68=0</x:f>
        <x:v>0</x:v>
      </x:c>
      <x:c r="O68" s="54" t="str">
        <x:v>DIRECT</x:v>
      </x:c>
      <x:c r="P68" s="57" t="b">
        <x:v>0</x:v>
      </x:c>
      <x:c r="Q68" s="58" t="str">
        <x:v>ACTIVE</x:v>
      </x:c>
      <x:c r="R68" s="59" t="n">
        <x:v>16</x:v>
      </x:c>
      <x:c r="S68" s="59" t="n">
        <x:v>18.9</x:v>
      </x:c>
      <x:c r="T68" s="59" t="n">
        <x:v>2.9</x:v>
      </x:c>
      <x:c r="U68" s="60" t="n">
        <x:f>S68-R68-T68</x:f>
        <x:v>-1.3322676295501878e-15</x:v>
      </x:c>
      <x:c r="V68" s="61" t="str">
        <x:v>HOLD</x:v>
      </x:c>
      <x:c r="W68" s="61" t="str">
        <x:v>HOLD</x:v>
      </x:c>
      <x:c r="X68" s="61" t="str">
        <x:v>OUTCOME_INPUTS_PENDING</x:v>
      </x:c>
      <x:c r="Y68" s="61" t="str">
        <x:v>S01/S02/S03/S40/S44</x:v>
      </x:c>
      <x:c r="Z68" s="61" t="str">
        <x:v>ATL_2018_19_G063</x:v>
      </x:c>
    </x:row>
    <x:row r="69">
      <x:c r="A69" s="54" t="n">
        <x:v>64</x:v>
      </x:c>
      <x:c r="B69" s="55" t="n">
        <x:v>43527.5</x:v>
      </x:c>
      <x:c r="C69" s="54" t="str">
        <x:v>A</x:v>
      </x:c>
      <x:c r="D69" s="54" t="str">
        <x:v>Chicago Bulls</x:v>
      </x:c>
      <x:c r="E69" s="54" t="str">
        <x:v>W</x:v>
      </x:c>
      <x:c r="F69" s="54" t="n">
        <x:v>123</x:v>
      </x:c>
      <x:c r="G69" s="54" t="n">
        <x:v>118</x:v>
      </x:c>
      <x:c r="H69" s="54" t="n">
        <x:f>F69-G69</x:f>
        <x:v>5</x:v>
      </x:c>
      <x:c r="I69" s="54" t="n">
        <x:v>0</x:v>
      </x:c>
      <x:c r="J69" s="54" t="n">
        <x:f>240+25*I69</x:f>
        <x:v>240</x:v>
      </x:c>
      <x:c r="K69" s="54" t="n">
        <x:f>K68+IF(E69="W",1,0)</x:f>
        <x:v>22</x:v>
      </x:c>
      <x:c r="L69" s="54" t="n">
        <x:f>L68+IF(E69="L",1,0)</x:f>
        <x:v>42</x:v>
      </x:c>
      <x:c r="M69" s="56" t="n">
        <x:f>B69-B68-1</x:f>
        <x:v>1</x:v>
      </x:c>
      <x:c r="N69" s="54" t="b">
        <x:f>M69=0</x:f>
        <x:v>0</x:v>
      </x:c>
      <x:c r="O69" s="54" t="str">
        <x:v>ROSTER</x:v>
      </x:c>
      <x:c r="P69" s="57" t="b">
        <x:v>0</x:v>
      </x:c>
      <x:c r="Q69" s="58" t="str">
        <x:v>DNP</x:v>
      </x:c>
      <x:c r="R69" s="59" t="n">
        <x:v>0</x:v>
      </x:c>
      <x:c r="S69" s="59" t="n">
        <x:v>0</x:v>
      </x:c>
      <x:c r="T69" s="59" t="n">
        <x:v>0</x:v>
      </x:c>
      <x:c r="U69" s="60" t="n">
        <x:f>S69-R69-T69</x:f>
        <x:v>0</x:v>
      </x:c>
      <x:c r="V69" s="61" t="str">
        <x:v>HOLD</x:v>
      </x:c>
      <x:c r="W69" s="61" t="str">
        <x:v>HOLD</x:v>
      </x:c>
      <x:c r="X69" s="61" t="str">
        <x:v>OUTCOME_INPUTS_PENDING</x:v>
      </x:c>
      <x:c r="Y69" s="61" t="str">
        <x:v>S01/S02/S03/S40/S44</x:v>
      </x:c>
      <x:c r="Z69" s="61" t="str">
        <x:v>ATL_2018_19_G064</x:v>
      </x:c>
    </x:row>
    <x:row r="70">
      <x:c r="A70" s="54" t="n">
        <x:v>65</x:v>
      </x:c>
      <x:c r="B70" s="55" t="n">
        <x:v>43528.5</x:v>
      </x:c>
      <x:c r="C70" s="54" t="str">
        <x:v>A</x:v>
      </x:c>
      <x:c r="D70" s="54" t="str">
        <x:v>Miami Heat</x:v>
      </x:c>
      <x:c r="E70" s="54" t="str">
        <x:v>L</x:v>
      </x:c>
      <x:c r="F70" s="54" t="n">
        <x:v>113</x:v>
      </x:c>
      <x:c r="G70" s="54" t="n">
        <x:v>114</x:v>
      </x:c>
      <x:c r="H70" s="54" t="n">
        <x:f>F70-G70</x:f>
        <x:v>-1</x:v>
      </x:c>
      <x:c r="I70" s="54" t="n">
        <x:v>0</x:v>
      </x:c>
      <x:c r="J70" s="54" t="n">
        <x:f>240+25*I70</x:f>
        <x:v>240</x:v>
      </x:c>
      <x:c r="K70" s="54" t="n">
        <x:f>K69+IF(E70="W",1,0)</x:f>
        <x:v>22</x:v>
      </x:c>
      <x:c r="L70" s="54" t="n">
        <x:f>L69+IF(E70="L",1,0)</x:f>
        <x:v>43</x:v>
      </x:c>
      <x:c r="M70" s="56" t="n">
        <x:f>B70-B69-1</x:f>
        <x:v>0</x:v>
      </x:c>
      <x:c r="N70" s="54" t="b">
        <x:f>M70=0</x:f>
        <x:v>1</x:v>
      </x:c>
      <x:c r="O70" s="54" t="str">
        <x:v>ROSTER</x:v>
      </x:c>
      <x:c r="P70" s="57" t="b">
        <x:v>0</x:v>
      </x:c>
      <x:c r="Q70" s="58" t="str">
        <x:v>DNP</x:v>
      </x:c>
      <x:c r="R70" s="59" t="n">
        <x:v>0</x:v>
      </x:c>
      <x:c r="S70" s="59" t="n">
        <x:v>0</x:v>
      </x:c>
      <x:c r="T70" s="59" t="n">
        <x:v>0</x:v>
      </x:c>
      <x:c r="U70" s="60" t="n">
        <x:f>S70-R70-T70</x:f>
        <x:v>0</x:v>
      </x:c>
      <x:c r="V70" s="61" t="str">
        <x:v>HOLD</x:v>
      </x:c>
      <x:c r="W70" s="61" t="str">
        <x:v>HOLD</x:v>
      </x:c>
      <x:c r="X70" s="61" t="str">
        <x:v>OUTCOME_INPUTS_PENDING</x:v>
      </x:c>
      <x:c r="Y70" s="61" t="str">
        <x:v>S01/S02/S03/S40/S44</x:v>
      </x:c>
      <x:c r="Z70" s="61" t="str">
        <x:v>ATL_2018_19_G065</x:v>
      </x:c>
    </x:row>
    <x:row r="71">
      <x:c r="A71" s="54" t="n">
        <x:v>66</x:v>
      </x:c>
      <x:c r="B71" s="55" t="n">
        <x:v>43530.5</x:v>
      </x:c>
      <x:c r="C71" s="54" t="str">
        <x:v>H</x:v>
      </x:c>
      <x:c r="D71" s="54" t="str">
        <x:v>San Antonio Spurs</x:v>
      </x:c>
      <x:c r="E71" s="54" t="str">
        <x:v>L</x:v>
      </x:c>
      <x:c r="F71" s="54" t="n">
        <x:v>104</x:v>
      </x:c>
      <x:c r="G71" s="54" t="n">
        <x:v>111</x:v>
      </x:c>
      <x:c r="H71" s="54" t="n">
        <x:f>F71-G71</x:f>
        <x:v>-7</x:v>
      </x:c>
      <x:c r="I71" s="54" t="n">
        <x:v>0</x:v>
      </x:c>
      <x:c r="J71" s="54" t="n">
        <x:f>240+25*I71</x:f>
        <x:v>240</x:v>
      </x:c>
      <x:c r="K71" s="54" t="n">
        <x:f>K70+IF(E71="W",1,0)</x:f>
        <x:v>22</x:v>
      </x:c>
      <x:c r="L71" s="54" t="n">
        <x:f>L70+IF(E71="L",1,0)</x:f>
        <x:v>44</x:v>
      </x:c>
      <x:c r="M71" s="56" t="n">
        <x:f>B71-B70-1</x:f>
        <x:v>1</x:v>
      </x:c>
      <x:c r="N71" s="54" t="b">
        <x:f>M71=0</x:f>
        <x:v>0</x:v>
      </x:c>
      <x:c r="O71" s="54" t="str">
        <x:v>ROSTER</x:v>
      </x:c>
      <x:c r="P71" s="57" t="b">
        <x:v>0</x:v>
      </x:c>
      <x:c r="Q71" s="58" t="str">
        <x:v>DNP</x:v>
      </x:c>
      <x:c r="R71" s="59" t="n">
        <x:v>0</x:v>
      </x:c>
      <x:c r="S71" s="59" t="n">
        <x:v>0</x:v>
      </x:c>
      <x:c r="T71" s="59" t="n">
        <x:v>0</x:v>
      </x:c>
      <x:c r="U71" s="60" t="n">
        <x:f>S71-R71-T71</x:f>
        <x:v>0</x:v>
      </x:c>
      <x:c r="V71" s="61" t="str">
        <x:v>HOLD</x:v>
      </x:c>
      <x:c r="W71" s="61" t="str">
        <x:v>HOLD</x:v>
      </x:c>
      <x:c r="X71" s="61" t="str">
        <x:v>OUTCOME_INPUTS_PENDING</x:v>
      </x:c>
      <x:c r="Y71" s="61" t="str">
        <x:v>S01/S02/S03/S40/S44</x:v>
      </x:c>
      <x:c r="Z71" s="61" t="str">
        <x:v>ATL_2018_19_G066</x:v>
      </x:c>
    </x:row>
    <x:row r="72">
      <x:c r="A72" s="54" t="n">
        <x:v>67</x:v>
      </x:c>
      <x:c r="B72" s="55" t="n">
        <x:v>43533.5</x:v>
      </x:c>
      <x:c r="C72" s="54" t="str">
        <x:v>H</x:v>
      </x:c>
      <x:c r="D72" s="54" t="str">
        <x:v>Brooklyn Nets</x:v>
      </x:c>
      <x:c r="E72" s="54" t="str">
        <x:v>L</x:v>
      </x:c>
      <x:c r="F72" s="54" t="n">
        <x:v>112</x:v>
      </x:c>
      <x:c r="G72" s="54" t="n">
        <x:v>114</x:v>
      </x:c>
      <x:c r="H72" s="54" t="n">
        <x:f>F72-G72</x:f>
        <x:v>-2</x:v>
      </x:c>
      <x:c r="I72" s="54" t="n">
        <x:v>0</x:v>
      </x:c>
      <x:c r="J72" s="54" t="n">
        <x:f>240+25*I72</x:f>
        <x:v>240</x:v>
      </x:c>
      <x:c r="K72" s="54" t="n">
        <x:f>K71+IF(E72="W",1,0)</x:f>
        <x:v>22</x:v>
      </x:c>
      <x:c r="L72" s="54" t="n">
        <x:f>L71+IF(E72="L",1,0)</x:f>
        <x:v>45</x:v>
      </x:c>
      <x:c r="M72" s="56" t="n">
        <x:f>B72-B71-1</x:f>
        <x:v>2</x:v>
      </x:c>
      <x:c r="N72" s="54" t="b">
        <x:f>M72=0</x:f>
        <x:v>0</x:v>
      </x:c>
      <x:c r="O72" s="54" t="str">
        <x:v>ROSTER</x:v>
      </x:c>
      <x:c r="P72" s="57" t="b">
        <x:v>0</x:v>
      </x:c>
      <x:c r="Q72" s="58" t="str">
        <x:v>DNP</x:v>
      </x:c>
      <x:c r="R72" s="59" t="n">
        <x:v>0</x:v>
      </x:c>
      <x:c r="S72" s="59" t="n">
        <x:v>0</x:v>
      </x:c>
      <x:c r="T72" s="59" t="n">
        <x:v>0</x:v>
      </x:c>
      <x:c r="U72" s="60" t="n">
        <x:f>S72-R72-T72</x:f>
        <x:v>0</x:v>
      </x:c>
      <x:c r="V72" s="61" t="str">
        <x:v>HOLD</x:v>
      </x:c>
      <x:c r="W72" s="61" t="str">
        <x:v>HOLD</x:v>
      </x:c>
      <x:c r="X72" s="61" t="str">
        <x:v>OUTCOME_INPUTS_PENDING</x:v>
      </x:c>
      <x:c r="Y72" s="61" t="str">
        <x:v>S01/S02/S03/S40/S44</x:v>
      </x:c>
      <x:c r="Z72" s="61" t="str">
        <x:v>ATL_2018_19_G067</x:v>
      </x:c>
    </x:row>
    <x:row r="73">
      <x:c r="A73" s="54" t="n">
        <x:v>68</x:v>
      </x:c>
      <x:c r="B73" s="55" t="n">
        <x:v>43534.5</x:v>
      </x:c>
      <x:c r="C73" s="54" t="str">
        <x:v>H</x:v>
      </x:c>
      <x:c r="D73" s="54" t="str">
        <x:v>New Orleans Pelicans</x:v>
      </x:c>
      <x:c r="E73" s="54" t="str">
        <x:v>W</x:v>
      </x:c>
      <x:c r="F73" s="54" t="n">
        <x:v>128</x:v>
      </x:c>
      <x:c r="G73" s="54" t="n">
        <x:v>116</x:v>
      </x:c>
      <x:c r="H73" s="54" t="n">
        <x:f>F73-G73</x:f>
        <x:v>12</x:v>
      </x:c>
      <x:c r="I73" s="54" t="n">
        <x:v>0</x:v>
      </x:c>
      <x:c r="J73" s="54" t="n">
        <x:f>240+25*I73</x:f>
        <x:v>240</x:v>
      </x:c>
      <x:c r="K73" s="54" t="n">
        <x:f>K72+IF(E73="W",1,0)</x:f>
        <x:v>23</x:v>
      </x:c>
      <x:c r="L73" s="54" t="n">
        <x:f>L72+IF(E73="L",1,0)</x:f>
        <x:v>45</x:v>
      </x:c>
      <x:c r="M73" s="56" t="n">
        <x:f>B73-B72-1</x:f>
        <x:v>0</x:v>
      </x:c>
      <x:c r="N73" s="54" t="b">
        <x:f>M73=0</x:f>
        <x:v>1</x:v>
      </x:c>
      <x:c r="O73" s="54" t="str">
        <x:v>ROSTER</x:v>
      </x:c>
      <x:c r="P73" s="57" t="b">
        <x:v>0</x:v>
      </x:c>
      <x:c r="Q73" s="58" t="str">
        <x:v>DNP</x:v>
      </x:c>
      <x:c r="R73" s="59" t="n">
        <x:v>0</x:v>
      </x:c>
      <x:c r="S73" s="59" t="n">
        <x:v>0</x:v>
      </x:c>
      <x:c r="T73" s="59" t="n">
        <x:v>0</x:v>
      </x:c>
      <x:c r="U73" s="60" t="n">
        <x:f>S73-R73-T73</x:f>
        <x:v>0</x:v>
      </x:c>
      <x:c r="V73" s="61" t="str">
        <x:v>HOLD</x:v>
      </x:c>
      <x:c r="W73" s="61" t="str">
        <x:v>HOLD</x:v>
      </x:c>
      <x:c r="X73" s="61" t="str">
        <x:v>OUTCOME_INPUTS_PENDING</x:v>
      </x:c>
      <x:c r="Y73" s="61" t="str">
        <x:v>S01/S02/S03/S40/S44</x:v>
      </x:c>
      <x:c r="Z73" s="61" t="str">
        <x:v>ATL_2018_19_G068</x:v>
      </x:c>
    </x:row>
    <x:row r="74">
      <x:c r="A74" s="54" t="n">
        <x:v>69</x:v>
      </x:c>
      <x:c r="B74" s="55" t="n">
        <x:v>43537.5</x:v>
      </x:c>
      <x:c r="C74" s="54" t="str">
        <x:v>H</x:v>
      </x:c>
      <x:c r="D74" s="54" t="str">
        <x:v>Memphis Grizzlies</x:v>
      </x:c>
      <x:c r="E74" s="54" t="str">
        <x:v>W</x:v>
      </x:c>
      <x:c r="F74" s="54" t="n">
        <x:v>132</x:v>
      </x:c>
      <x:c r="G74" s="54" t="n">
        <x:v>111</x:v>
      </x:c>
      <x:c r="H74" s="54" t="n">
        <x:f>F74-G74</x:f>
        <x:v>21</x:v>
      </x:c>
      <x:c r="I74" s="54" t="n">
        <x:v>0</x:v>
      </x:c>
      <x:c r="J74" s="54" t="n">
        <x:f>240+25*I74</x:f>
        <x:v>240</x:v>
      </x:c>
      <x:c r="K74" s="54" t="n">
        <x:f>K73+IF(E74="W",1,0)</x:f>
        <x:v>24</x:v>
      </x:c>
      <x:c r="L74" s="54" t="n">
        <x:f>L73+IF(E74="L",1,0)</x:f>
        <x:v>45</x:v>
      </x:c>
      <x:c r="M74" s="56" t="n">
        <x:f>B74-B73-1</x:f>
        <x:v>2</x:v>
      </x:c>
      <x:c r="N74" s="54" t="b">
        <x:f>M74=0</x:f>
        <x:v>0</x:v>
      </x:c>
      <x:c r="O74" s="54" t="str">
        <x:v>ROSTER</x:v>
      </x:c>
      <x:c r="P74" s="57" t="b">
        <x:v>0</x:v>
      </x:c>
      <x:c r="Q74" s="58" t="str">
        <x:v>DNP</x:v>
      </x:c>
      <x:c r="R74" s="59" t="n">
        <x:v>0</x:v>
      </x:c>
      <x:c r="S74" s="59" t="n">
        <x:v>0</x:v>
      </x:c>
      <x:c r="T74" s="59" t="n">
        <x:v>0</x:v>
      </x:c>
      <x:c r="U74" s="60" t="n">
        <x:f>S74-R74-T74</x:f>
        <x:v>0</x:v>
      </x:c>
      <x:c r="V74" s="61" t="str">
        <x:v>HOLD</x:v>
      </x:c>
      <x:c r="W74" s="61" t="str">
        <x:v>HOLD</x:v>
      </x:c>
      <x:c r="X74" s="61" t="str">
        <x:v>OUTCOME_INPUTS_PENDING</x:v>
      </x:c>
      <x:c r="Y74" s="61" t="str">
        <x:v>S01/S02/S03/S40/S44</x:v>
      </x:c>
      <x:c r="Z74" s="61" t="str">
        <x:v>ATL_2018_19_G069</x:v>
      </x:c>
    </x:row>
    <x:row r="75">
      <x:c r="A75" s="54" t="n">
        <x:v>70</x:v>
      </x:c>
      <x:c r="B75" s="55" t="n">
        <x:v>43540.5</x:v>
      </x:c>
      <x:c r="C75" s="54" t="str">
        <x:v>A</x:v>
      </x:c>
      <x:c r="D75" s="54" t="str">
        <x:v>Boston Celtics</x:v>
      </x:c>
      <x:c r="E75" s="54" t="str">
        <x:v>L</x:v>
      </x:c>
      <x:c r="F75" s="54" t="n">
        <x:v>120</x:v>
      </x:c>
      <x:c r="G75" s="54" t="n">
        <x:v>129</x:v>
      </x:c>
      <x:c r="H75" s="54" t="n">
        <x:f>F75-G75</x:f>
        <x:v>-9</x:v>
      </x:c>
      <x:c r="I75" s="54" t="n">
        <x:v>0</x:v>
      </x:c>
      <x:c r="J75" s="54" t="n">
        <x:f>240+25*I75</x:f>
        <x:v>240</x:v>
      </x:c>
      <x:c r="K75" s="54" t="n">
        <x:f>K74+IF(E75="W",1,0)</x:f>
        <x:v>24</x:v>
      </x:c>
      <x:c r="L75" s="54" t="n">
        <x:f>L74+IF(E75="L",1,0)</x:f>
        <x:v>46</x:v>
      </x:c>
      <x:c r="M75" s="56" t="n">
        <x:f>B75-B74-1</x:f>
        <x:v>2</x:v>
      </x:c>
      <x:c r="N75" s="54" t="b">
        <x:f>M75=0</x:f>
        <x:v>0</x:v>
      </x:c>
      <x:c r="O75" s="54" t="str">
        <x:v>ROSTER</x:v>
      </x:c>
      <x:c r="P75" s="57" t="b">
        <x:v>0</x:v>
      </x:c>
      <x:c r="Q75" s="58" t="str">
        <x:v>DNP</x:v>
      </x:c>
      <x:c r="R75" s="59" t="n">
        <x:v>0</x:v>
      </x:c>
      <x:c r="S75" s="59" t="n">
        <x:v>0</x:v>
      </x:c>
      <x:c r="T75" s="59" t="n">
        <x:v>0</x:v>
      </x:c>
      <x:c r="U75" s="60" t="n">
        <x:f>S75-R75-T75</x:f>
        <x:v>0</x:v>
      </x:c>
      <x:c r="V75" s="61" t="str">
        <x:v>HOLD</x:v>
      </x:c>
      <x:c r="W75" s="61" t="str">
        <x:v>HOLD</x:v>
      </x:c>
      <x:c r="X75" s="61" t="str">
        <x:v>OUTCOME_INPUTS_PENDING</x:v>
      </x:c>
      <x:c r="Y75" s="61" t="str">
        <x:v>S01/S02/S03/S40/S44</x:v>
      </x:c>
      <x:c r="Z75" s="61" t="str">
        <x:v>ATL_2018_19_G070</x:v>
      </x:c>
    </x:row>
    <x:row r="76">
      <x:c r="A76" s="54" t="n">
        <x:v>71</x:v>
      </x:c>
      <x:c r="B76" s="55" t="n">
        <x:v>43541.5</x:v>
      </x:c>
      <x:c r="C76" s="54" t="str">
        <x:v>A</x:v>
      </x:c>
      <x:c r="D76" s="54" t="str">
        <x:v>Orlando Magic</x:v>
      </x:c>
      <x:c r="E76" s="54" t="str">
        <x:v>L</x:v>
      </x:c>
      <x:c r="F76" s="54" t="n">
        <x:v>91</x:v>
      </x:c>
      <x:c r="G76" s="54" t="n">
        <x:v>101</x:v>
      </x:c>
      <x:c r="H76" s="54" t="n">
        <x:f>F76-G76</x:f>
        <x:v>-10</x:v>
      </x:c>
      <x:c r="I76" s="54" t="n">
        <x:v>0</x:v>
      </x:c>
      <x:c r="J76" s="54" t="n">
        <x:f>240+25*I76</x:f>
        <x:v>240</x:v>
      </x:c>
      <x:c r="K76" s="54" t="n">
        <x:f>K75+IF(E76="W",1,0)</x:f>
        <x:v>24</x:v>
      </x:c>
      <x:c r="L76" s="54" t="n">
        <x:f>L75+IF(E76="L",1,0)</x:f>
        <x:v>47</x:v>
      </x:c>
      <x:c r="M76" s="56" t="n">
        <x:f>B76-B75-1</x:f>
        <x:v>0</x:v>
      </x:c>
      <x:c r="N76" s="54" t="b">
        <x:f>M76=0</x:f>
        <x:v>1</x:v>
      </x:c>
      <x:c r="O76" s="54" t="str">
        <x:v>ROSTER</x:v>
      </x:c>
      <x:c r="P76" s="57" t="b">
        <x:v>0</x:v>
      </x:c>
      <x:c r="Q76" s="58" t="str">
        <x:v>DNP</x:v>
      </x:c>
      <x:c r="R76" s="59" t="n">
        <x:v>0</x:v>
      </x:c>
      <x:c r="S76" s="59" t="n">
        <x:v>0</x:v>
      </x:c>
      <x:c r="T76" s="59" t="n">
        <x:v>0</x:v>
      </x:c>
      <x:c r="U76" s="60" t="n">
        <x:f>S76-R76-T76</x:f>
        <x:v>0</x:v>
      </x:c>
      <x:c r="V76" s="61" t="str">
        <x:v>HOLD</x:v>
      </x:c>
      <x:c r="W76" s="61" t="str">
        <x:v>HOLD</x:v>
      </x:c>
      <x:c r="X76" s="61" t="str">
        <x:v>OUTCOME_INPUTS_PENDING</x:v>
      </x:c>
      <x:c r="Y76" s="61" t="str">
        <x:v>S01/S02/S03/S40/S44</x:v>
      </x:c>
      <x:c r="Z76" s="61" t="str">
        <x:v>ATL_2018_19_G071</x:v>
      </x:c>
    </x:row>
    <x:row r="77">
      <x:c r="A77" s="54" t="n">
        <x:v>72</x:v>
      </x:c>
      <x:c r="B77" s="55" t="n">
        <x:v>43543.5</x:v>
      </x:c>
      <x:c r="C77" s="54" t="str">
        <x:v>H</x:v>
      </x:c>
      <x:c r="D77" s="54" t="str">
        <x:v>Houston Rockets</x:v>
      </x:c>
      <x:c r="E77" s="54" t="str">
        <x:v>L</x:v>
      </x:c>
      <x:c r="F77" s="54" t="n">
        <x:v>105</x:v>
      </x:c>
      <x:c r="G77" s="54" t="n">
        <x:v>121</x:v>
      </x:c>
      <x:c r="H77" s="54" t="n">
        <x:f>F77-G77</x:f>
        <x:v>-16</x:v>
      </x:c>
      <x:c r="I77" s="54" t="n">
        <x:v>0</x:v>
      </x:c>
      <x:c r="J77" s="54" t="n">
        <x:f>240+25*I77</x:f>
        <x:v>240</x:v>
      </x:c>
      <x:c r="K77" s="54" t="n">
        <x:f>K76+IF(E77="W",1,0)</x:f>
        <x:v>24</x:v>
      </x:c>
      <x:c r="L77" s="54" t="n">
        <x:f>L76+IF(E77="L",1,0)</x:f>
        <x:v>48</x:v>
      </x:c>
      <x:c r="M77" s="56" t="n">
        <x:f>B77-B76-1</x:f>
        <x:v>1</x:v>
      </x:c>
      <x:c r="N77" s="54" t="b">
        <x:f>M77=0</x:f>
        <x:v>0</x:v>
      </x:c>
      <x:c r="O77" s="54" t="str">
        <x:v>ROSTER</x:v>
      </x:c>
      <x:c r="P77" s="57" t="b">
        <x:v>0</x:v>
      </x:c>
      <x:c r="Q77" s="58" t="str">
        <x:v>DNP</x:v>
      </x:c>
      <x:c r="R77" s="59" t="n">
        <x:v>0</x:v>
      </x:c>
      <x:c r="S77" s="59" t="n">
        <x:v>0</x:v>
      </x:c>
      <x:c r="T77" s="59" t="n">
        <x:v>0</x:v>
      </x:c>
      <x:c r="U77" s="60" t="n">
        <x:f>S77-R77-T77</x:f>
        <x:v>0</x:v>
      </x:c>
      <x:c r="V77" s="61" t="str">
        <x:v>HOLD</x:v>
      </x:c>
      <x:c r="W77" s="61" t="str">
        <x:v>HOLD</x:v>
      </x:c>
      <x:c r="X77" s="61" t="str">
        <x:v>OUTCOME_INPUTS_PENDING</x:v>
      </x:c>
      <x:c r="Y77" s="61" t="str">
        <x:v>S01/S02/S03/S40/S44</x:v>
      </x:c>
      <x:c r="Z77" s="61" t="str">
        <x:v>ATL_2018_19_G072</x:v>
      </x:c>
    </x:row>
    <x:row r="78">
      <x:c r="A78" s="54" t="n">
        <x:v>73</x:v>
      </x:c>
      <x:c r="B78" s="55" t="n">
        <x:v>43545.5</x:v>
      </x:c>
      <x:c r="C78" s="54" t="str">
        <x:v>H</x:v>
      </x:c>
      <x:c r="D78" s="54" t="str">
        <x:v>Utah Jazz</x:v>
      </x:c>
      <x:c r="E78" s="54" t="str">
        <x:v>W</x:v>
      </x:c>
      <x:c r="F78" s="54" t="n">
        <x:v>117</x:v>
      </x:c>
      <x:c r="G78" s="54" t="n">
        <x:v>114</x:v>
      </x:c>
      <x:c r="H78" s="54" t="n">
        <x:f>F78-G78</x:f>
        <x:v>3</x:v>
      </x:c>
      <x:c r="I78" s="54" t="n">
        <x:v>0</x:v>
      </x:c>
      <x:c r="J78" s="54" t="n">
        <x:f>240+25*I78</x:f>
        <x:v>240</x:v>
      </x:c>
      <x:c r="K78" s="54" t="n">
        <x:f>K77+IF(E78="W",1,0)</x:f>
        <x:v>25</x:v>
      </x:c>
      <x:c r="L78" s="54" t="n">
        <x:f>L77+IF(E78="L",1,0)</x:f>
        <x:v>48</x:v>
      </x:c>
      <x:c r="M78" s="56" t="n">
        <x:f>B78-B77-1</x:f>
        <x:v>1</x:v>
      </x:c>
      <x:c r="N78" s="54" t="b">
        <x:f>M78=0</x:f>
        <x:v>0</x:v>
      </x:c>
      <x:c r="O78" s="54" t="str">
        <x:v>ROSTER</x:v>
      </x:c>
      <x:c r="P78" s="57" t="b">
        <x:v>0</x:v>
      </x:c>
      <x:c r="Q78" s="58" t="str">
        <x:v>DNP</x:v>
      </x:c>
      <x:c r="R78" s="59" t="n">
        <x:v>0</x:v>
      </x:c>
      <x:c r="S78" s="59" t="n">
        <x:v>0</x:v>
      </x:c>
      <x:c r="T78" s="59" t="n">
        <x:v>0</x:v>
      </x:c>
      <x:c r="U78" s="60" t="n">
        <x:f>S78-R78-T78</x:f>
        <x:v>0</x:v>
      </x:c>
      <x:c r="V78" s="61" t="str">
        <x:v>HOLD</x:v>
      </x:c>
      <x:c r="W78" s="61" t="str">
        <x:v>HOLD</x:v>
      </x:c>
      <x:c r="X78" s="61" t="str">
        <x:v>OUTCOME_INPUTS_PENDING</x:v>
      </x:c>
      <x:c r="Y78" s="61" t="str">
        <x:v>S01/S02/S03/S40/S44</x:v>
      </x:c>
      <x:c r="Z78" s="61" t="str">
        <x:v>ATL_2018_19_G073</x:v>
      </x:c>
    </x:row>
    <x:row r="79">
      <x:c r="A79" s="54" t="n">
        <x:v>74</x:v>
      </x:c>
      <x:c r="B79" s="55" t="n">
        <x:v>43547.5</x:v>
      </x:c>
      <x:c r="C79" s="54" t="str">
        <x:v>H</x:v>
      </x:c>
      <x:c r="D79" s="54" t="str">
        <x:v>Philadelphia 76ers</x:v>
      </x:c>
      <x:c r="E79" s="54" t="str">
        <x:v>W</x:v>
      </x:c>
      <x:c r="F79" s="54" t="n">
        <x:v>129</x:v>
      </x:c>
      <x:c r="G79" s="54" t="n">
        <x:v>127</x:v>
      </x:c>
      <x:c r="H79" s="54" t="n">
        <x:f>F79-G79</x:f>
        <x:v>2</x:v>
      </x:c>
      <x:c r="I79" s="54" t="n">
        <x:v>0</x:v>
      </x:c>
      <x:c r="J79" s="54" t="n">
        <x:f>240+25*I79</x:f>
        <x:v>240</x:v>
      </x:c>
      <x:c r="K79" s="54" t="n">
        <x:f>K78+IF(E79="W",1,0)</x:f>
        <x:v>26</x:v>
      </x:c>
      <x:c r="L79" s="54" t="n">
        <x:f>L78+IF(E79="L",1,0)</x:f>
        <x:v>48</x:v>
      </x:c>
      <x:c r="M79" s="56" t="n">
        <x:f>B79-B78-1</x:f>
        <x:v>1</x:v>
      </x:c>
      <x:c r="N79" s="54" t="b">
        <x:f>M79=0</x:f>
        <x:v>0</x:v>
      </x:c>
      <x:c r="O79" s="54" t="str">
        <x:v>ROSTER</x:v>
      </x:c>
      <x:c r="P79" s="57" t="b">
        <x:v>0</x:v>
      </x:c>
      <x:c r="Q79" s="58" t="str">
        <x:v>DNP</x:v>
      </x:c>
      <x:c r="R79" s="59" t="n">
        <x:v>0</x:v>
      </x:c>
      <x:c r="S79" s="59" t="n">
        <x:v>0</x:v>
      </x:c>
      <x:c r="T79" s="59" t="n">
        <x:v>0</x:v>
      </x:c>
      <x:c r="U79" s="60" t="n">
        <x:f>S79-R79-T79</x:f>
        <x:v>0</x:v>
      </x:c>
      <x:c r="V79" s="61" t="str">
        <x:v>HOLD</x:v>
      </x:c>
      <x:c r="W79" s="61" t="str">
        <x:v>HOLD</x:v>
      </x:c>
      <x:c r="X79" s="61" t="str">
        <x:v>OUTCOME_INPUTS_PENDING</x:v>
      </x:c>
      <x:c r="Y79" s="61" t="str">
        <x:v>S01/S02/S03/S40/S44</x:v>
      </x:c>
      <x:c r="Z79" s="61" t="str">
        <x:v>ATL_2018_19_G074</x:v>
      </x:c>
    </x:row>
    <x:row r="80">
      <x:c r="A80" s="54" t="n">
        <x:v>75</x:v>
      </x:c>
      <x:c r="B80" s="55" t="n">
        <x:v>43550.5</x:v>
      </x:c>
      <x:c r="C80" s="54" t="str">
        <x:v>A</x:v>
      </x:c>
      <x:c r="D80" s="54" t="str">
        <x:v>New Orleans Pelicans</x:v>
      </x:c>
      <x:c r="E80" s="54" t="str">
        <x:v>W</x:v>
      </x:c>
      <x:c r="F80" s="54" t="n">
        <x:v>130</x:v>
      </x:c>
      <x:c r="G80" s="54" t="n">
        <x:v>120</x:v>
      </x:c>
      <x:c r="H80" s="54" t="n">
        <x:f>F80-G80</x:f>
        <x:v>10</x:v>
      </x:c>
      <x:c r="I80" s="54" t="n">
        <x:v>0</x:v>
      </x:c>
      <x:c r="J80" s="54" t="n">
        <x:f>240+25*I80</x:f>
        <x:v>240</x:v>
      </x:c>
      <x:c r="K80" s="54" t="n">
        <x:f>K79+IF(E80="W",1,0)</x:f>
        <x:v>27</x:v>
      </x:c>
      <x:c r="L80" s="54" t="n">
        <x:f>L79+IF(E80="L",1,0)</x:f>
        <x:v>48</x:v>
      </x:c>
      <x:c r="M80" s="56" t="n">
        <x:f>B80-B79-1</x:f>
        <x:v>2</x:v>
      </x:c>
      <x:c r="N80" s="54" t="b">
        <x:f>M80=0</x:f>
        <x:v>0</x:v>
      </x:c>
      <x:c r="O80" s="54" t="str">
        <x:v>ROSTER</x:v>
      </x:c>
      <x:c r="P80" s="57" t="b">
        <x:v>0</x:v>
      </x:c>
      <x:c r="Q80" s="58" t="str">
        <x:v>DNP</x:v>
      </x:c>
      <x:c r="R80" s="59" t="n">
        <x:v>0</x:v>
      </x:c>
      <x:c r="S80" s="59" t="n">
        <x:v>0</x:v>
      </x:c>
      <x:c r="T80" s="59" t="n">
        <x:v>0</x:v>
      </x:c>
      <x:c r="U80" s="60" t="n">
        <x:f>S80-R80-T80</x:f>
        <x:v>0</x:v>
      </x:c>
      <x:c r="V80" s="61" t="str">
        <x:v>HOLD</x:v>
      </x:c>
      <x:c r="W80" s="61" t="str">
        <x:v>HOLD</x:v>
      </x:c>
      <x:c r="X80" s="61" t="str">
        <x:v>OUTCOME_INPUTS_PENDING</x:v>
      </x:c>
      <x:c r="Y80" s="61" t="str">
        <x:v>S01/S02/S03/S40/S44</x:v>
      </x:c>
      <x:c r="Z80" s="61" t="str">
        <x:v>ATL_2018_19_G075</x:v>
      </x:c>
    </x:row>
    <x:row r="81">
      <x:c r="A81" s="54" t="n">
        <x:v>76</x:v>
      </x:c>
      <x:c r="B81" s="55" t="n">
        <x:v>43553.5</x:v>
      </x:c>
      <x:c r="C81" s="54" t="str">
        <x:v>H</x:v>
      </x:c>
      <x:c r="D81" s="54" t="str">
        <x:v>Portland Trail Blazers</x:v>
      </x:c>
      <x:c r="E81" s="54" t="str">
        <x:v>L</x:v>
      </x:c>
      <x:c r="F81" s="54" t="n">
        <x:v>98</x:v>
      </x:c>
      <x:c r="G81" s="54" t="n">
        <x:v>118</x:v>
      </x:c>
      <x:c r="H81" s="54" t="n">
        <x:f>F81-G81</x:f>
        <x:v>-20</x:v>
      </x:c>
      <x:c r="I81" s="54" t="n">
        <x:v>0</x:v>
      </x:c>
      <x:c r="J81" s="54" t="n">
        <x:f>240+25*I81</x:f>
        <x:v>240</x:v>
      </x:c>
      <x:c r="K81" s="54" t="n">
        <x:f>K80+IF(E81="W",1,0)</x:f>
        <x:v>27</x:v>
      </x:c>
      <x:c r="L81" s="54" t="n">
        <x:f>L80+IF(E81="L",1,0)</x:f>
        <x:v>49</x:v>
      </x:c>
      <x:c r="M81" s="56" t="n">
        <x:f>B81-B80-1</x:f>
        <x:v>2</x:v>
      </x:c>
      <x:c r="N81" s="54" t="b">
        <x:f>M81=0</x:f>
        <x:v>0</x:v>
      </x:c>
      <x:c r="O81" s="54" t="str">
        <x:v>ROSTER</x:v>
      </x:c>
      <x:c r="P81" s="57" t="b">
        <x:v>0</x:v>
      </x:c>
      <x:c r="Q81" s="58" t="str">
        <x:v>DNP</x:v>
      </x:c>
      <x:c r="R81" s="59" t="n">
        <x:v>0</x:v>
      </x:c>
      <x:c r="S81" s="59" t="n">
        <x:v>0</x:v>
      </x:c>
      <x:c r="T81" s="59" t="n">
        <x:v>0</x:v>
      </x:c>
      <x:c r="U81" s="60" t="n">
        <x:f>S81-R81-T81</x:f>
        <x:v>0</x:v>
      </x:c>
      <x:c r="V81" s="61" t="str">
        <x:v>HOLD</x:v>
      </x:c>
      <x:c r="W81" s="61" t="str">
        <x:v>HOLD</x:v>
      </x:c>
      <x:c r="X81" s="61" t="str">
        <x:v>OUTCOME_INPUTS_PENDING</x:v>
      </x:c>
      <x:c r="Y81" s="61" t="str">
        <x:v>S01/S02/S03/S40/S44</x:v>
      </x:c>
      <x:c r="Z81" s="61" t="str">
        <x:v>ATL_2018_19_G076</x:v>
      </x:c>
    </x:row>
    <x:row r="82">
      <x:c r="A82" s="54" t="n">
        <x:v>77</x:v>
      </x:c>
      <x:c r="B82" s="55" t="n">
        <x:v>43555.5</x:v>
      </x:c>
      <x:c r="C82" s="54" t="str">
        <x:v>H</x:v>
      </x:c>
      <x:c r="D82" s="54" t="str">
        <x:v>Milwaukee Bucks</x:v>
      </x:c>
      <x:c r="E82" s="54" t="str">
        <x:v>W</x:v>
      </x:c>
      <x:c r="F82" s="54" t="n">
        <x:v>136</x:v>
      </x:c>
      <x:c r="G82" s="54" t="n">
        <x:v>135</x:v>
      </x:c>
      <x:c r="H82" s="54" t="n">
        <x:f>F82-G82</x:f>
        <x:v>1</x:v>
      </x:c>
      <x:c r="I82" s="54" t="n">
        <x:v>1</x:v>
      </x:c>
      <x:c r="J82" s="54" t="n">
        <x:f>240+25*I82</x:f>
        <x:v>265</x:v>
      </x:c>
      <x:c r="K82" s="54" t="n">
        <x:f>K81+IF(E82="W",1,0)</x:f>
        <x:v>28</x:v>
      </x:c>
      <x:c r="L82" s="54" t="n">
        <x:f>L81+IF(E82="L",1,0)</x:f>
        <x:v>49</x:v>
      </x:c>
      <x:c r="M82" s="56" t="n">
        <x:f>B82-B81-1</x:f>
        <x:v>1</x:v>
      </x:c>
      <x:c r="N82" s="54" t="b">
        <x:f>M82=0</x:f>
        <x:v>0</x:v>
      </x:c>
      <x:c r="O82" s="54" t="str">
        <x:v>ROSTER</x:v>
      </x:c>
      <x:c r="P82" s="57" t="b">
        <x:v>0</x:v>
      </x:c>
      <x:c r="Q82" s="58" t="str">
        <x:v>DNP</x:v>
      </x:c>
      <x:c r="R82" s="59" t="n">
        <x:v>0</x:v>
      </x:c>
      <x:c r="S82" s="59" t="n">
        <x:v>0</x:v>
      </x:c>
      <x:c r="T82" s="59" t="n">
        <x:v>0</x:v>
      </x:c>
      <x:c r="U82" s="60" t="n">
        <x:f>S82-R82-T82</x:f>
        <x:v>0</x:v>
      </x:c>
      <x:c r="V82" s="61" t="str">
        <x:v>HOLD</x:v>
      </x:c>
      <x:c r="W82" s="61" t="str">
        <x:v>HOLD</x:v>
      </x:c>
      <x:c r="X82" s="61" t="str">
        <x:v>OUTCOME_INPUTS_PENDING</x:v>
      </x:c>
      <x:c r="Y82" s="61" t="str">
        <x:v>S01/S02/S03/S40/S44</x:v>
      </x:c>
      <x:c r="Z82" s="61" t="str">
        <x:v>ATL_2018_19_G077</x:v>
      </x:c>
    </x:row>
    <x:row r="83">
      <x:c r="A83" s="54" t="n">
        <x:v>78</x:v>
      </x:c>
      <x:c r="B83" s="55" t="n">
        <x:v>43557.5</x:v>
      </x:c>
      <x:c r="C83" s="54" t="str">
        <x:v>A</x:v>
      </x:c>
      <x:c r="D83" s="54" t="str">
        <x:v>San Antonio Spurs</x:v>
      </x:c>
      <x:c r="E83" s="54" t="str">
        <x:v>L</x:v>
      </x:c>
      <x:c r="F83" s="54" t="n">
        <x:v>111</x:v>
      </x:c>
      <x:c r="G83" s="54" t="n">
        <x:v>117</x:v>
      </x:c>
      <x:c r="H83" s="54" t="n">
        <x:f>F83-G83</x:f>
        <x:v>-6</x:v>
      </x:c>
      <x:c r="I83" s="54" t="n">
        <x:v>0</x:v>
      </x:c>
      <x:c r="J83" s="54" t="n">
        <x:f>240+25*I83</x:f>
        <x:v>240</x:v>
      </x:c>
      <x:c r="K83" s="54" t="n">
        <x:f>K82+IF(E83="W",1,0)</x:f>
        <x:v>28</x:v>
      </x:c>
      <x:c r="L83" s="54" t="n">
        <x:f>L82+IF(E83="L",1,0)</x:f>
        <x:v>50</x:v>
      </x:c>
      <x:c r="M83" s="56" t="n">
        <x:f>B83-B82-1</x:f>
        <x:v>1</x:v>
      </x:c>
      <x:c r="N83" s="54" t="b">
        <x:f>M83=0</x:f>
        <x:v>0</x:v>
      </x:c>
      <x:c r="O83" s="54" t="str">
        <x:v>ROSTER</x:v>
      </x:c>
      <x:c r="P83" s="57" t="b">
        <x:v>0</x:v>
      </x:c>
      <x:c r="Q83" s="58" t="str">
        <x:v>DNP</x:v>
      </x:c>
      <x:c r="R83" s="59" t="n">
        <x:v>0</x:v>
      </x:c>
      <x:c r="S83" s="59" t="n">
        <x:v>0</x:v>
      </x:c>
      <x:c r="T83" s="59" t="n">
        <x:v>0</x:v>
      </x:c>
      <x:c r="U83" s="60" t="n">
        <x:f>S83-R83-T83</x:f>
        <x:v>0</x:v>
      </x:c>
      <x:c r="V83" s="61" t="str">
        <x:v>HOLD</x:v>
      </x:c>
      <x:c r="W83" s="61" t="str">
        <x:v>HOLD</x:v>
      </x:c>
      <x:c r="X83" s="61" t="str">
        <x:v>OUTCOME_INPUTS_PENDING</x:v>
      </x:c>
      <x:c r="Y83" s="61" t="str">
        <x:v>S01/S02/S03/S40/S44</x:v>
      </x:c>
      <x:c r="Z83" s="61" t="str">
        <x:v>ATL_2018_19_G078</x:v>
      </x:c>
    </x:row>
    <x:row r="84">
      <x:c r="A84" s="54" t="n">
        <x:v>79</x:v>
      </x:c>
      <x:c r="B84" s="55" t="n">
        <x:v>43558.5</x:v>
      </x:c>
      <x:c r="C84" s="54" t="str">
        <x:v>H</x:v>
      </x:c>
      <x:c r="D84" s="54" t="str">
        <x:v>Philadelphia 76ers</x:v>
      </x:c>
      <x:c r="E84" s="54" t="str">
        <x:v>W</x:v>
      </x:c>
      <x:c r="F84" s="54" t="n">
        <x:v>130</x:v>
      </x:c>
      <x:c r="G84" s="54" t="n">
        <x:v>122</x:v>
      </x:c>
      <x:c r="H84" s="54" t="n">
        <x:f>F84-G84</x:f>
        <x:v>8</x:v>
      </x:c>
      <x:c r="I84" s="54" t="n">
        <x:v>0</x:v>
      </x:c>
      <x:c r="J84" s="54" t="n">
        <x:f>240+25*I84</x:f>
        <x:v>240</x:v>
      </x:c>
      <x:c r="K84" s="54" t="n">
        <x:f>K83+IF(E84="W",1,0)</x:f>
        <x:v>29</x:v>
      </x:c>
      <x:c r="L84" s="54" t="n">
        <x:f>L83+IF(E84="L",1,0)</x:f>
        <x:v>50</x:v>
      </x:c>
      <x:c r="M84" s="56" t="n">
        <x:f>B84-B83-1</x:f>
        <x:v>0</x:v>
      </x:c>
      <x:c r="N84" s="54" t="b">
        <x:f>M84=0</x:f>
        <x:v>1</x:v>
      </x:c>
      <x:c r="O84" s="54" t="str">
        <x:v>ROSTER</x:v>
      </x:c>
      <x:c r="P84" s="57" t="b">
        <x:v>0</x:v>
      </x:c>
      <x:c r="Q84" s="58" t="str">
        <x:v>DNP</x:v>
      </x:c>
      <x:c r="R84" s="59" t="n">
        <x:v>0</x:v>
      </x:c>
      <x:c r="S84" s="59" t="n">
        <x:v>0</x:v>
      </x:c>
      <x:c r="T84" s="59" t="n">
        <x:v>0</x:v>
      </x:c>
      <x:c r="U84" s="60" t="n">
        <x:f>S84-R84-T84</x:f>
        <x:v>0</x:v>
      </x:c>
      <x:c r="V84" s="61" t="str">
        <x:v>HOLD</x:v>
      </x:c>
      <x:c r="W84" s="61" t="str">
        <x:v>HOLD</x:v>
      </x:c>
      <x:c r="X84" s="61" t="str">
        <x:v>OUTCOME_INPUTS_PENDING</x:v>
      </x:c>
      <x:c r="Y84" s="61" t="str">
        <x:v>S01/S02/S03/S40/S44</x:v>
      </x:c>
      <x:c r="Z84" s="61" t="str">
        <x:v>ATL_2018_19_G079</x:v>
      </x:c>
    </x:row>
    <x:row r="85">
      <x:c r="A85" s="54" t="n">
        <x:v>80</x:v>
      </x:c>
      <x:c r="B85" s="55" t="n">
        <x:v>43560.5</x:v>
      </x:c>
      <x:c r="C85" s="54" t="str">
        <x:v>A</x:v>
      </x:c>
      <x:c r="D85" s="54" t="str">
        <x:v>Orlando Magic</x:v>
      </x:c>
      <x:c r="E85" s="54" t="str">
        <x:v>L</x:v>
      </x:c>
      <x:c r="F85" s="54" t="n">
        <x:v>113</x:v>
      </x:c>
      <x:c r="G85" s="54" t="n">
        <x:v>149</x:v>
      </x:c>
      <x:c r="H85" s="54" t="n">
        <x:f>F85-G85</x:f>
        <x:v>-36</x:v>
      </x:c>
      <x:c r="I85" s="54" t="n">
        <x:v>0</x:v>
      </x:c>
      <x:c r="J85" s="54" t="n">
        <x:f>240+25*I85</x:f>
        <x:v>240</x:v>
      </x:c>
      <x:c r="K85" s="54" t="n">
        <x:f>K84+IF(E85="W",1,0)</x:f>
        <x:v>29</x:v>
      </x:c>
      <x:c r="L85" s="54" t="n">
        <x:f>L84+IF(E85="L",1,0)</x:f>
        <x:v>51</x:v>
      </x:c>
      <x:c r="M85" s="56" t="n">
        <x:f>B85-B84-1</x:f>
        <x:v>1</x:v>
      </x:c>
      <x:c r="N85" s="54" t="b">
        <x:f>M85=0</x:f>
        <x:v>0</x:v>
      </x:c>
      <x:c r="O85" s="54" t="str">
        <x:v>ROSTER</x:v>
      </x:c>
      <x:c r="P85" s="57" t="b">
        <x:v>0</x:v>
      </x:c>
      <x:c r="Q85" s="58" t="str">
        <x:v>DNP</x:v>
      </x:c>
      <x:c r="R85" s="59" t="n">
        <x:v>0</x:v>
      </x:c>
      <x:c r="S85" s="59" t="n">
        <x:v>0</x:v>
      </x:c>
      <x:c r="T85" s="59" t="n">
        <x:v>0</x:v>
      </x:c>
      <x:c r="U85" s="60" t="n">
        <x:f>S85-R85-T85</x:f>
        <x:v>0</x:v>
      </x:c>
      <x:c r="V85" s="61" t="str">
        <x:v>HOLD</x:v>
      </x:c>
      <x:c r="W85" s="61" t="str">
        <x:v>HOLD</x:v>
      </x:c>
      <x:c r="X85" s="61" t="str">
        <x:v>OUTCOME_INPUTS_PENDING</x:v>
      </x:c>
      <x:c r="Y85" s="61" t="str">
        <x:v>S01/S02/S03/S40/S44</x:v>
      </x:c>
      <x:c r="Z85" s="61" t="str">
        <x:v>ATL_2018_19_G080</x:v>
      </x:c>
    </x:row>
    <x:row r="86">
      <x:c r="A86" s="54" t="n">
        <x:v>81</x:v>
      </x:c>
      <x:c r="B86" s="55" t="n">
        <x:v>43562.5</x:v>
      </x:c>
      <x:c r="C86" s="54" t="str">
        <x:v>A</x:v>
      </x:c>
      <x:c r="D86" s="54" t="str">
        <x:v>Milwaukee Bucks</x:v>
      </x:c>
      <x:c r="E86" s="54" t="str">
        <x:v>L</x:v>
      </x:c>
      <x:c r="F86" s="54" t="n">
        <x:v>107</x:v>
      </x:c>
      <x:c r="G86" s="54" t="n">
        <x:v>115</x:v>
      </x:c>
      <x:c r="H86" s="54" t="n">
        <x:f>F86-G86</x:f>
        <x:v>-8</x:v>
      </x:c>
      <x:c r="I86" s="54" t="n">
        <x:v>0</x:v>
      </x:c>
      <x:c r="J86" s="54" t="n">
        <x:f>240+25*I86</x:f>
        <x:v>240</x:v>
      </x:c>
      <x:c r="K86" s="54" t="n">
        <x:f>K85+IF(E86="W",1,0)</x:f>
        <x:v>29</x:v>
      </x:c>
      <x:c r="L86" s="54" t="n">
        <x:f>L85+IF(E86="L",1,0)</x:f>
        <x:v>52</x:v>
      </x:c>
      <x:c r="M86" s="56" t="n">
        <x:f>B86-B85-1</x:f>
        <x:v>1</x:v>
      </x:c>
      <x:c r="N86" s="54" t="b">
        <x:f>M86=0</x:f>
        <x:v>0</x:v>
      </x:c>
      <x:c r="O86" s="54" t="str">
        <x:v>ROSTER</x:v>
      </x:c>
      <x:c r="P86" s="57" t="b">
        <x:v>0</x:v>
      </x:c>
      <x:c r="Q86" s="58" t="str">
        <x:v>DNP</x:v>
      </x:c>
      <x:c r="R86" s="59" t="n">
        <x:v>0</x:v>
      </x:c>
      <x:c r="S86" s="59" t="n">
        <x:v>0</x:v>
      </x:c>
      <x:c r="T86" s="59" t="n">
        <x:v>0</x:v>
      </x:c>
      <x:c r="U86" s="60" t="n">
        <x:f>S86-R86-T86</x:f>
        <x:v>0</x:v>
      </x:c>
      <x:c r="V86" s="61" t="str">
        <x:v>HOLD</x:v>
      </x:c>
      <x:c r="W86" s="61" t="str">
        <x:v>HOLD</x:v>
      </x:c>
      <x:c r="X86" s="61" t="str">
        <x:v>OUTCOME_INPUTS_PENDING</x:v>
      </x:c>
      <x:c r="Y86" s="61" t="str">
        <x:v>S01/S02/S03/S40/S44</x:v>
      </x:c>
      <x:c r="Z86" s="61" t="str">
        <x:v>ATL_2018_19_G081</x:v>
      </x:c>
    </x:row>
    <x:row r="87">
      <x:c r="A87" s="54" t="n">
        <x:v>82</x:v>
      </x:c>
      <x:c r="B87" s="55" t="n">
        <x:v>43565.5</x:v>
      </x:c>
      <x:c r="C87" s="54" t="str">
        <x:v>H</x:v>
      </x:c>
      <x:c r="D87" s="54" t="str">
        <x:v>Indiana Pacers</x:v>
      </x:c>
      <x:c r="E87" s="54" t="str">
        <x:v>L</x:v>
      </x:c>
      <x:c r="F87" s="54" t="n">
        <x:v>134</x:v>
      </x:c>
      <x:c r="G87" s="54" t="n">
        <x:v>135</x:v>
      </x:c>
      <x:c r="H87" s="54" t="n">
        <x:f>F87-G87</x:f>
        <x:v>-1</x:v>
      </x:c>
      <x:c r="I87" s="54" t="n">
        <x:v>0</x:v>
      </x:c>
      <x:c r="J87" s="54" t="n">
        <x:f>240+25*I87</x:f>
        <x:v>240</x:v>
      </x:c>
      <x:c r="K87" s="54" t="n">
        <x:f>K86+IF(E87="W",1,0)</x:f>
        <x:v>29</x:v>
      </x:c>
      <x:c r="L87" s="54" t="n">
        <x:f>L86+IF(E87="L",1,0)</x:f>
        <x:v>53</x:v>
      </x:c>
      <x:c r="M87" s="56" t="n">
        <x:f>B87-B86-1</x:f>
        <x:v>2</x:v>
      </x:c>
      <x:c r="N87" s="54" t="b">
        <x:f>M87=0</x:f>
        <x:v>0</x:v>
      </x:c>
      <x:c r="O87" s="54" t="str">
        <x:v>ROSTER</x:v>
      </x:c>
      <x:c r="P87" s="57" t="b">
        <x:v>0</x:v>
      </x:c>
      <x:c r="Q87" s="58" t="str">
        <x:v>DNP</x:v>
      </x:c>
      <x:c r="R87" s="59" t="n">
        <x:v>0</x:v>
      </x:c>
      <x:c r="S87" s="59" t="n">
        <x:v>0</x:v>
      </x:c>
      <x:c r="T87" s="59" t="n">
        <x:v>0</x:v>
      </x:c>
      <x:c r="U87" s="60" t="n">
        <x:f>S87-R87-T87</x:f>
        <x:v>0</x:v>
      </x:c>
      <x:c r="V87" s="61" t="str">
        <x:v>HOLD</x:v>
      </x:c>
      <x:c r="W87" s="61" t="str">
        <x:v>HOLD</x:v>
      </x:c>
      <x:c r="X87" s="61" t="str">
        <x:v>OUTCOME_INPUTS_PENDING</x:v>
      </x:c>
      <x:c r="Y87" s="61" t="str">
        <x:v>S01/S02/S03/S40/S44</x:v>
      </x:c>
      <x:c r="Z87" s="61" t="str">
        <x:v>ATL_2018_19_G082</x:v>
      </x:c>
    </x:row>
  </x:sheetData>
  <x:mergeCells>
    <x:mergeCell ref="A1:Z2"/>
    <x:mergeCell ref="A3:Z3"/>
  </x:mergeCells>
  <x:pageMargins left="0.7" right="0.7" top="0.75" bottom="0.75" header="0.3" footer="0.3"/>
  <x:tableParts count="1">
    <x:tablePart xmlns:r="http://schemas.openxmlformats.org/officeDocument/2006/relationships" r:id="Rfc6df7dffba0442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1" hidden="0" customWidth="1"/>
    <x:col min="5" max="5" width="34" hidden="0" customWidth="1"/>
    <x:col min="6" max="6" width="32" hidden="0" customWidth="1"/>
    <x:col min="7" max="7" width="18" hidden="0" customWidth="1"/>
    <x:col min="8" max="8" width="14" hidden="0" customWidth="1"/>
  </x:cols>
  <x:sheetData>
    <x:row r="1" ht="32" customHeight="1">
      <x:c r="A1" s="25" t="str">
        <x:v>ATLANTA ROOKIE — AVAILABILITY &amp; ASSIGNMENT PREREGISTRATION</x:v>
      </x:c>
      <x:c r="B1" s="26"/>
      <x:c r="C1" s="26"/>
      <x:c r="D1" s="26"/>
      <x:c r="E1" s="26"/>
      <x:c r="F1" s="26"/>
      <x:c r="G1" s="26"/>
      <x:c r="H1" s="26"/>
    </x:row>
    <x:row r="2">
      <x:c r="A2" s="26"/>
      <x:c r="B2" s="26"/>
      <x:c r="C2" s="26"/>
      <x:c r="D2" s="26"/>
      <x:c r="E2" s="26"/>
      <x:c r="F2" s="26"/>
      <x:c r="G2" s="26"/>
      <x:c r="H2" s="26"/>
    </x:row>
    <x:row r="3">
      <x:c r="A3" s="26"/>
      <x:c r="B3" s="26"/>
      <x:c r="C3" s="26"/>
      <x:c r="D3" s="26"/>
      <x:c r="E3" s="26"/>
      <x:c r="F3" s="26"/>
      <x:c r="G3" s="26"/>
      <x:c r="H3" s="26"/>
    </x:row>
    <x:row r="4">
      <x:c r="A4" s="28" t="str">
        <x:v>Metric</x:v>
      </x:c>
      <x:c r="B4" s="28" t="str">
        <x:v>Value</x:v>
      </x:c>
      <x:c r="C4" s="28" t="str">
        <x:v>Expected</x:v>
      </x:c>
      <x:c r="D4" s="28" t="str">
        <x:v>Check</x:v>
      </x:c>
      <x:c r="E4" s="28" t="str">
        <x:v>Rule</x:v>
      </x:c>
      <x:c r="F4" s="28" t="str">
        <x:v>Value</x:v>
      </x:c>
      <x:c r="G4" s="28" t="str">
        <x:v>Status</x:v>
      </x:c>
      <x:c r="H4" s="28" t="str">
        <x:v>Source</x:v>
      </x:c>
    </x:row>
    <x:row r="5">
      <x:c r="A5" s="69" t="str">
        <x:v>NBA GP</x:v>
      </x:c>
      <x:c r="B5" s="69" t="n">
        <x:f>COUNTIF('Game Ledger'!$O$6:$O$87,"DIRECT")</x:f>
        <x:v>43</x:v>
      </x:c>
      <x:c r="C5" s="69" t="n">
        <x:v>43</x:v>
      </x:c>
      <x:c r="D5" s="70" t="str">
        <x:f>IF(B5=C5,"PASS","FAIL")</x:f>
        <x:v>PASS</x:v>
      </x:c>
      <x:c r="E5" s="69" t="str">
        <x:v>Eligibility</x:v>
      </x:c>
      <x:c r="F5" s="69" t="str">
        <x:v>Spellman donor ≥ 7.0</x:v>
      </x:c>
      <x:c r="G5" s="70" t="str">
        <x:v>LOCK</x:v>
      </x:c>
      <x:c r="H5" s="69" t="str">
        <x:v>S40</x:v>
      </x:c>
    </x:row>
    <x:row r="6">
      <x:c r="A6" s="69" t="str">
        <x:v>NBA minutes</x:v>
      </x:c>
      <x:c r="B6" s="71" t="n">
        <x:f>SUM('Game Ledger'!$R$6:$R$87)</x:f>
        <x:v>621.9000000000001</x:v>
      </x:c>
      <x:c r="C6" s="71" t="n">
        <x:v>621.9</x:v>
      </x:c>
      <x:c r="D6" s="70" t="str">
        <x:f>IF(ABS(B6-C6)&lt;0.01,"PASS","FAIL")</x:f>
        <x:v>PASS</x:v>
      </x:c>
      <x:c r="E6" s="69" t="str">
        <x:v>Game cap</x:v>
      </x:c>
      <x:c r="F6" s="69" t="str">
        <x:v>MIN(16.0, donor)</x:v>
      </x:c>
      <x:c r="G6" s="70" t="str">
        <x:v>LOCK</x:v>
      </x:c>
      <x:c r="H6" s="69" t="str">
        <x:v>S40</x:v>
      </x:c>
    </x:row>
    <x:row r="7">
      <x:c r="A7" s="69" t="str">
        <x:v>NBA MPG</x:v>
      </x:c>
      <x:c r="B7" s="71" t="n">
        <x:f>B6/B5</x:f>
        <x:v>14.462790697674421</x:v>
      </x:c>
      <x:c r="C7" s="71" t="n">
        <x:v>14.46</x:v>
      </x:c>
      <x:c r="D7" s="70" t="str">
        <x:f>IF(ABS(B7-C7)&lt;0.01,"PASS","FAIL")</x:f>
        <x:v>PASS</x:v>
      </x:c>
      <x:c r="E7" s="69" t="str">
        <x:v>Story cost</x:v>
      </x:c>
      <x:c r="F7" s="69" t="str">
        <x:v>2018-11-19; planned 14.1 → 0</x:v>
      </x:c>
      <x:c r="G7" s="70" t="str">
        <x:v>LOCK</x:v>
      </x:c>
      <x:c r="H7" s="69" t="str">
        <x:v>S01/S40</x:v>
      </x:c>
    </x:row>
    <x:row r="8">
      <x:c r="A8" s="69" t="str">
        <x:v>Spellman donor</x:v>
      </x:c>
      <x:c r="B8" s="71" t="n">
        <x:f>SUM('Game Ledger'!$S$6:$S$87)</x:f>
        <x:v>804.9999999999999</x:v>
      </x:c>
      <x:c r="C8" s="71" t="n">
        <x:v>805</x:v>
      </x:c>
      <x:c r="D8" s="70" t="str">
        <x:f>IF(ABS(B8-C8)&lt;0.01,"PASS","FAIL")</x:f>
        <x:v>PASS</x:v>
      </x:c>
      <x:c r="E8" s="69" t="str">
        <x:v>Selection basis</x:v>
      </x:c>
      <x:c r="F8" s="69" t="str">
        <x:v>First home game after multi-city road stretch</x:v>
      </x:c>
      <x:c r="G8" s="70" t="str">
        <x:v>OUTCOME_BLIND</x:v>
      </x:c>
      <x:c r="H8" s="69" t="str">
        <x:v>S01</x:v>
      </x:c>
    </x:row>
    <x:row r="9">
      <x:c r="A9" s="69" t="str">
        <x:v>ATL remainder pool</x:v>
      </x:c>
      <x:c r="B9" s="71" t="n">
        <x:f>SUM('Game Ledger'!$T$6:$T$87)</x:f>
        <x:v>183.10000000000002</x:v>
      </x:c>
      <x:c r="C9" s="71" t="n">
        <x:v>183.1</x:v>
      </x:c>
      <x:c r="D9" s="70" t="str">
        <x:f>IF(ABS(B9-C9)&lt;0.01,"PASS","FAIL")</x:f>
        <x:v>PASS</x:v>
      </x:c>
      <x:c r="E9" s="69" t="str">
        <x:v>Assignment</x:v>
      </x:c>
      <x:c r="F9" s="69" t="str">
        <x:v>2018-12-07 through 2018-12-22</x:v>
      </x:c>
      <x:c r="G9" s="70" t="str">
        <x:v>LOCK</x:v>
      </x:c>
      <x:c r="H9" s="69" t="str">
        <x:v>S43</x:v>
      </x:c>
    </x:row>
    <x:row r="10">
      <x:c r="A10" s="69" t="str">
        <x:v>Minute balance</x:v>
      </x:c>
      <x:c r="B10" s="71" t="n">
        <x:f>ROUND(SUM('Game Ledger'!$U$6:$U$87),1)</x:f>
        <x:v>0</x:v>
      </x:c>
      <x:c r="C10" s="71" t="n">
        <x:v>0</x:v>
      </x:c>
      <x:c r="D10" s="70" t="str">
        <x:f>IF(ABS(B10-C10)&lt;0.01,"PASS","FAIL")</x:f>
        <x:v>PASS</x:v>
      </x:c>
      <x:c r="E10" s="69" t="str">
        <x:v>Assignment purpose</x:v>
      </x:c>
      <x:c r="F10" s="69" t="str">
        <x:v>Six-game development block; not discipline</x:v>
      </x:c>
      <x:c r="G10" s="70" t="str">
        <x:v>LOCK</x:v>
      </x:c>
      <x:c r="H10" s="69" t="str">
        <x:v>S42/S43</x:v>
      </x:c>
    </x:row>
    <x:row r="11">
      <x:c r="A11" s="69" t="str">
        <x:v>DIRECT / ROSTER</x:v>
      </x:c>
      <x:c r="B11" s="69" t="str">
        <x:f>COUNTIF('Game Ledger'!$O$6:$O$87,"DIRECT")&amp;" / "&amp;COUNTIF('Game Ledger'!$O$6:$O$87,"ROSTER")</x:f>
        <x:v>43 / 39</x:v>
      </x:c>
      <x:c r="C11" s="69" t="str">
        <x:v>43 / 39</x:v>
      </x:c>
      <x:c r="D11" s="70" t="str">
        <x:f>IF(B11=C11,"PASS","FAIL")</x:f>
        <x:v>PASS</x:v>
      </x:c>
      <x:c r="E11" s="69" t="str">
        <x:v>Injury firewall</x:v>
      </x:c>
      <x:c r="F11" s="69" t="str">
        <x:v>Do not copy Spellman's hip/ankle injuries</x:v>
      </x:c>
      <x:c r="G11" s="70" t="str">
        <x:v>LOCK</x:v>
      </x:c>
      <x:c r="H11" s="69" t="str">
        <x:v>S05/S42</x:v>
      </x:c>
    </x:row>
    <x:row r="12">
      <x:c r="A12" s="72"/>
      <x:c r="B12" s="72"/>
      <x:c r="C12" s="72"/>
      <x:c r="D12" s="72"/>
      <x:c r="E12" s="72"/>
      <x:c r="F12" s="72"/>
      <x:c r="G12" s="72"/>
      <x:c r="H12" s="72"/>
    </x:row>
    <x:row r="13">
      <x:c r="A13" s="73" t="str">
        <x:v>Erie schedule inside the locked development window — exact fictional box-score minutes remain 24-30 MPG HOLD</x:v>
      </x:c>
      <x:c r="B13" s="73"/>
      <x:c r="C13" s="73"/>
      <x:c r="D13" s="73"/>
      <x:c r="E13" s="73"/>
      <x:c r="F13" s="73"/>
      <x:c r="G13" s="73"/>
      <x:c r="H13" s="73"/>
    </x:row>
    <x:row r="14">
      <x:c r="A14" s="72"/>
      <x:c r="B14" s="72"/>
      <x:c r="C14" s="72"/>
      <x:c r="D14" s="72"/>
      <x:c r="E14" s="72"/>
      <x:c r="F14" s="72"/>
      <x:c r="G14" s="72"/>
      <x:c r="H14" s="72"/>
    </x:row>
    <x:row r="15">
      <x:c r="A15" s="72"/>
      <x:c r="B15" s="72"/>
      <x:c r="C15" s="72"/>
      <x:c r="D15" s="72"/>
      <x:c r="E15" s="72"/>
      <x:c r="F15" s="72"/>
      <x:c r="G15" s="72"/>
      <x:c r="H15" s="72"/>
    </x:row>
    <x:row r="16">
      <x:c r="A16" s="28" t="str">
        <x:v>Erie game</x:v>
      </x:c>
      <x:c r="B16" s="28" t="str">
        <x:v>Date</x:v>
      </x:c>
      <x:c r="C16" s="28" t="str">
        <x:v>Site</x:v>
      </x:c>
      <x:c r="D16" s="28" t="str">
        <x:v>Opponent</x:v>
      </x:c>
      <x:c r="E16" s="28" t="str">
        <x:v>Minute band</x:v>
      </x:c>
      <x:c r="F16" s="28" t="str">
        <x:v>NBA same date</x:v>
      </x:c>
      <x:c r="G16" s="28" t="str">
        <x:v>NBA minutes</x:v>
      </x:c>
      <x:c r="H16" s="28" t="str">
        <x:v>Source</x:v>
      </x:c>
    </x:row>
    <x:row r="17">
      <x:c r="A17" s="69" t="n">
        <x:v>1</x:v>
      </x:c>
      <x:c r="B17" s="74" t="n">
        <x:v>43442.5</x:v>
      </x:c>
      <x:c r="C17" s="69" t="str">
        <x:v>A</x:v>
      </x:c>
      <x:c r="D17" s="69" t="str">
        <x:v>South Bay Lakers</x:v>
      </x:c>
      <x:c r="E17" s="69" t="str">
        <x:v>24-30</x:v>
      </x:c>
      <x:c r="F17" s="69" t="str">
        <x:v>H Denver Nuggets</x:v>
      </x:c>
      <x:c r="G17" s="69" t="n">
        <x:v>0</x:v>
      </x:c>
      <x:c r="H17" s="69" t="str">
        <x:v>S43</x:v>
      </x:c>
    </x:row>
    <x:row r="18">
      <x:c r="A18" s="69" t="n">
        <x:v>2</x:v>
      </x:c>
      <x:c r="B18" s="74" t="n">
        <x:v>43444.5</x:v>
      </x:c>
      <x:c r="C18" s="69" t="str">
        <x:v>A</x:v>
      </x:c>
      <x:c r="D18" s="69" t="str">
        <x:v>Stockton Kings</x:v>
      </x:c>
      <x:c r="E18" s="69" t="str">
        <x:v>24-30</x:v>
      </x:c>
      <x:c r="F18" s="69" t="str">
        <x:v>NONE</x:v>
      </x:c>
      <x:c r="G18" s="69" t="n">
        <x:v>0</x:v>
      </x:c>
      <x:c r="H18" s="69" t="str">
        <x:v>S43</x:v>
      </x:c>
    </x:row>
    <x:row r="19">
      <x:c r="A19" s="69" t="n">
        <x:v>3</x:v>
      </x:c>
      <x:c r="B19" s="74" t="n">
        <x:v>43447.5</x:v>
      </x:c>
      <x:c r="C19" s="69" t="str">
        <x:v>A</x:v>
      </x:c>
      <x:c r="D19" s="69" t="str">
        <x:v>Agua Caliente Clippers</x:v>
      </x:c>
      <x:c r="E19" s="69" t="str">
        <x:v>24-30</x:v>
      </x:c>
      <x:c r="F19" s="69" t="str">
        <x:v>NONE</x:v>
      </x:c>
      <x:c r="G19" s="69" t="n">
        <x:v>0</x:v>
      </x:c>
      <x:c r="H19" s="69" t="str">
        <x:v>S43</x:v>
      </x:c>
    </x:row>
    <x:row r="20">
      <x:c r="A20" s="69" t="n">
        <x:v>4</x:v>
      </x:c>
      <x:c r="B20" s="74" t="n">
        <x:v>43449.5</x:v>
      </x:c>
      <x:c r="C20" s="69" t="str">
        <x:v>A</x:v>
      </x:c>
      <x:c r="D20" s="69" t="str">
        <x:v>Santa Cruz Warriors</x:v>
      </x:c>
      <x:c r="E20" s="69" t="str">
        <x:v>24-30</x:v>
      </x:c>
      <x:c r="F20" s="69" t="str">
        <x:v>NONE</x:v>
      </x:c>
      <x:c r="G20" s="69" t="n">
        <x:v>0</x:v>
      </x:c>
      <x:c r="H20" s="69" t="str">
        <x:v>S43</x:v>
      </x:c>
    </x:row>
    <x:row r="21">
      <x:c r="A21" s="69" t="n">
        <x:v>5</x:v>
      </x:c>
      <x:c r="B21" s="74" t="n">
        <x:v>43453.5</x:v>
      </x:c>
      <x:c r="C21" s="69" t="str">
        <x:v>H</x:v>
      </x:c>
      <x:c r="D21" s="69" t="str">
        <x:v>Texas Legends</x:v>
      </x:c>
      <x:c r="E21" s="69" t="str">
        <x:v>24-30</x:v>
      </x:c>
      <x:c r="F21" s="69" t="str">
        <x:v>NONE</x:v>
      </x:c>
      <x:c r="G21" s="69" t="n">
        <x:v>0</x:v>
      </x:c>
      <x:c r="H21" s="69" t="str">
        <x:v>S43</x:v>
      </x:c>
    </x:row>
    <x:row r="22">
      <x:c r="A22" s="69" t="n">
        <x:v>6</x:v>
      </x:c>
      <x:c r="B22" s="74" t="n">
        <x:v>43455.5</x:v>
      </x:c>
      <x:c r="C22" s="69" t="str">
        <x:v>A</x:v>
      </x:c>
      <x:c r="D22" s="69" t="str">
        <x:v>Northern Arizona Suns</x:v>
      </x:c>
      <x:c r="E22" s="69" t="str">
        <x:v>24-30</x:v>
      </x:c>
      <x:c r="F22" s="69" t="str">
        <x:v>A New York Knicks</x:v>
      </x:c>
      <x:c r="G22" s="69" t="n">
        <x:v>0</x:v>
      </x:c>
      <x:c r="H22" s="69" t="str">
        <x:v>S43</x:v>
      </x:c>
    </x:row>
    <x:row r="23">
      <x:c r="A23" s="72"/>
      <x:c r="B23" s="72"/>
      <x:c r="C23" s="72"/>
      <x:c r="D23" s="72"/>
      <x:c r="E23" s="72"/>
      <x:c r="F23" s="72"/>
      <x:c r="G23" s="72"/>
      <x:c r="H23" s="72"/>
    </x:row>
    <x:row r="24" ht="34" customHeight="1">
      <x:c r="A24" s="68" t="str">
        <x:v>NO COLLISION: all six Erie dates carry 0 NBA minutes. Assignment follows the missed opportunity but is independently justified by development workload.</x:v>
      </x:c>
      <x:c r="B24" s="72"/>
      <x:c r="C24" s="72"/>
      <x:c r="D24" s="72"/>
      <x:c r="E24" s="72"/>
      <x:c r="F24" s="72"/>
      <x:c r="G24" s="72"/>
      <x:c r="H24" s="72"/>
    </x:row>
  </x:sheetData>
  <x:mergeCells>
    <x:mergeCell ref="A1:H2"/>
    <x:mergeCell ref="A13:H13"/>
    <x:mergeCell ref="A24:H2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23" hidden="0" customWidth="1"/>
    <x:col min="5" max="5" width="14" hidden="0" customWidth="1"/>
    <x:col min="6" max="6" width="21" hidden="0" customWidth="1"/>
    <x:col min="7" max="7" width="2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3" hidden="0" customWidth="1"/>
    <x:col min="18" max="18" width="48" hidden="0" customWidth="1"/>
  </x:cols>
  <x:sheetData>
    <x:row r="1" ht="32" customHeight="1">
      <x:c r="A1" s="3" t="str">
        <x:v>ATLANTA 2018-19 — NAMED RESERVE RECEIVER ALLOCATION</x:v>
      </x:c>
    </x:row>
    <x:row r="4">
      <x:c r="A4" s="89" t="str">
        <x:v>Pool</x:v>
      </x:c>
      <x:c r="B4" s="90" t="n">
        <x:f>SUM('Game Ledger'!$T$6:$T$87)</x:f>
        <x:v>183.10000000000002</x:v>
      </x:c>
      <x:c r="C4" s="90" t="str">
        <x:v>Allocated</x:v>
      </x:c>
      <x:c r="D4" s="90" t="n">
        <x:f>SUM(L7:L37)</x:f>
        <x:v>183.10000000000002</x:v>
      </x:c>
      <x:c r="E4" s="90" t="str">
        <x:v>Balance</x:v>
      </x:c>
      <x:c r="F4" s="90" t="n">
        <x:f>B4-D4</x:f>
        <x:v>0</x:v>
      </x:c>
      <x:c r="G4" s="89" t="str">
        <x:v>Dates</x:v>
      </x:c>
      <x:c r="H4" s="89" t="n">
        <x:f>COUNTIF('Game Ledger'!$T$6:$T$87,"&gt;0")</x:f>
        <x:v>29</x:v>
      </x:c>
      <x:c r="I4" s="89" t="str">
        <x:v>Rows</x:v>
      </x:c>
      <x:c r="J4" s="89" t="n">
        <x:f>COUNTA(A7:A37)</x:f>
        <x:v>31</x:v>
      </x:c>
      <x:c r="K4" s="89" t="str">
        <x:v>Receivers</x:v>
      </x:c>
      <x:c r="L4" s="89" t="n">
        <x:f>COUNTIF(F43:F47,"&gt;0")</x:f>
        <x:v>4</x:v>
      </x:c>
      <x:c r="M4" s="89" t="str">
        <x:v>Uncovered</x:v>
      </x:c>
      <x:c r="N4" s="89" t="n">
        <x:f>COUNTIF(P7:P37,"&gt;0.001")</x:f>
        <x:v>0</x:v>
      </x:c>
      <x:c r="O4" s="89" t="str">
        <x:v>Status</x:v>
      </x:c>
      <x:c r="P4" s="91" t="str">
        <x:f>IF(AND(ABS(F4)&lt;0.01,H4=29,J4=31,L4=4,N4=0),"PASS","FAIL")</x:f>
        <x:v>PASS</x:v>
      </x:c>
      <x:c r="Q4" s="89" t="str">
        <x:v>Next</x:v>
      </x:c>
      <x:c r="R4" s="89" t="str">
        <x:v>Production prior</x:v>
      </x:c>
    </x:row>
    <x:row r="5">
      <x:c r="A5" s="92"/>
      <x:c r="B5" s="92"/>
      <x:c r="C5" s="92"/>
      <x:c r="D5" s="92"/>
      <x:c r="E5" s="92"/>
      <x:c r="F5" s="92"/>
      <x:c r="G5" s="92"/>
      <x:c r="H5" s="92"/>
      <x:c r="I5" s="92"/>
      <x:c r="J5" s="92"/>
      <x:c r="K5" s="92"/>
      <x:c r="L5" s="92"/>
      <x:c r="M5" s="92"/>
      <x:c r="N5" s="92"/>
      <x:c r="O5" s="92"/>
      <x:c r="P5" s="92"/>
      <x:c r="Q5" s="92"/>
      <x:c r="R5" s="92"/>
    </x:row>
    <x:row r="6">
      <x:c r="A6" s="53" t="str">
        <x:v>Alloc</x:v>
      </x:c>
      <x:c r="B6" s="53" t="str">
        <x:v>Game</x:v>
      </x:c>
      <x:c r="C6" s="53" t="str">
        <x:v>Date</x:v>
      </x:c>
      <x:c r="D6" s="53" t="str">
        <x:v>Opponent</x:v>
      </x:c>
      <x:c r="E6" s="53" t="str">
        <x:v>Event ID</x:v>
      </x:c>
      <x:c r="F6" s="53" t="str">
        <x:v>Phase</x:v>
      </x:c>
      <x:c r="G6" s="53" t="str">
        <x:v>Receiver</x:v>
      </x:c>
      <x:c r="H6" s="53" t="str">
        <x:v>Box status</x:v>
      </x:c>
      <x:c r="I6" s="53" t="str">
        <x:v>Actual MIN</x:v>
      </x:c>
      <x:c r="J6" s="53" t="str">
        <x:v>Observed max</x:v>
      </x:c>
      <x:c r="K6" s="53" t="str">
        <x:v>Capacity</x:v>
      </x:c>
      <x:c r="L6" s="53" t="str">
        <x:v>Allocated</x:v>
      </x:c>
      <x:c r="M6" s="53" t="str">
        <x:v>Adjusted MIN</x:v>
      </x:c>
      <x:c r="N6" s="53" t="str">
        <x:v>Date allocated</x:v>
      </x:c>
      <x:c r="O6" s="53" t="str">
        <x:v>Game pool</x:v>
      </x:c>
      <x:c r="P6" s="53" t="str">
        <x:v>Date balance</x:v>
      </x:c>
      <x:c r="Q6" s="53" t="str">
        <x:v>Source ID</x:v>
      </x:c>
      <x:c r="R6" s="53" t="str">
        <x:v>Evidence URL</x:v>
      </x:c>
    </x:row>
    <x:row r="7">
      <x:c r="A7" s="93" t="n">
        <x:v>1</x:v>
      </x:c>
      <x:c r="B7" s="93" t="n">
        <x:v>3</x:v>
      </x:c>
      <x:c r="C7" s="94" t="n">
        <x:v>43394.5</x:v>
      </x:c>
      <x:c r="D7" s="93" t="str">
        <x:v>Cleveland Cavaliers</x:v>
      </x:c>
      <x:c r="E7" s="93" t="str">
        <x:v>401070718</x:v>
      </x:c>
      <x:c r="F7" s="95" t="str">
        <x:v>PRE_ANDERSON</x:v>
      </x:c>
      <x:c r="G7" s="95" t="str">
        <x:v>Alex Poythress</x:v>
      </x:c>
      <x:c r="H7" s="95" t="str">
        <x:v>PLAY</x:v>
      </x:c>
      <x:c r="I7" s="96" t="n">
        <x:v>24</x:v>
      </x:c>
      <x:c r="J7" s="96" t="n">
        <x:v>26</x:v>
      </x:c>
      <x:c r="K7" s="97" t="n">
        <x:f>J7-I7</x:f>
        <x:v>2</x:v>
      </x:c>
      <x:c r="L7" s="97" t="n">
        <x:v>2</x:v>
      </x:c>
      <x:c r="M7" s="97" t="n">
        <x:f>I7+L7</x:f>
        <x:v>26</x:v>
      </x:c>
      <x:c r="N7" s="97" t="n">
        <x:f>SUMIF($C$7:$C$37,C7,$L$7:$L$37)</x:f>
        <x:v>7.8</x:v>
      </x:c>
      <x:c r="O7" s="97" t="n">
        <x:f>SUMIF('Game Ledger'!$B$6:$B$87,C7,'Game Ledger'!$T$6:$T$87)</x:f>
        <x:v>7.8</x:v>
      </x:c>
      <x:c r="P7" s="97" t="n">
        <x:f>O7-N7</x:f>
        <x:v>0</x:v>
      </x:c>
      <x:c r="Q7" s="93" t="str">
        <x:v>S44</x:v>
      </x:c>
      <x:c r="R7" s="93" t="str">
        <x:v>https://www.espn.com/nba/boxscore/_/gameId/401070718</x:v>
      </x:c>
    </x:row>
    <x:row r="8">
      <x:c r="A8" s="93" t="n">
        <x:v>2</x:v>
      </x:c>
      <x:c r="B8" s="93" t="n">
        <x:v>3</x:v>
      </x:c>
      <x:c r="C8" s="94" t="n">
        <x:v>43394.5</x:v>
      </x:c>
      <x:c r="D8" s="93" t="str">
        <x:v>Cleveland Cavaliers</x:v>
      </x:c>
      <x:c r="E8" s="93" t="str">
        <x:v>401070718</x:v>
      </x:c>
      <x:c r="F8" s="95" t="str">
        <x:v>PRE_ANDERSON</x:v>
      </x:c>
      <x:c r="G8" s="95" t="str">
        <x:v>Miles Plumlee</x:v>
      </x:c>
      <x:c r="H8" s="95" t="str">
        <x:v>DNP-CD</x:v>
      </x:c>
      <x:c r="I8" s="96" t="n">
        <x:v>0</x:v>
      </x:c>
      <x:c r="J8" s="96" t="n">
        <x:v>19</x:v>
      </x:c>
      <x:c r="K8" s="97" t="n">
        <x:f>J8-I8</x:f>
        <x:v>19</x:v>
      </x:c>
      <x:c r="L8" s="97" t="n">
        <x:v>5.8</x:v>
      </x:c>
      <x:c r="M8" s="97" t="n">
        <x:f>I8+L8</x:f>
        <x:v>5.8</x:v>
      </x:c>
      <x:c r="N8" s="97" t="n">
        <x:f>SUMIF($C$7:$C$37,C8,$L$7:$L$37)</x:f>
        <x:v>7.8</x:v>
      </x:c>
      <x:c r="O8" s="97" t="n">
        <x:f>SUMIF('Game Ledger'!$B$6:$B$87,C8,'Game Ledger'!$T$6:$T$87)</x:f>
        <x:v>7.8</x:v>
      </x:c>
      <x:c r="P8" s="97" t="n">
        <x:f>O8-N8</x:f>
        <x:v>0</x:v>
      </x:c>
      <x:c r="Q8" s="93" t="str">
        <x:v>S44</x:v>
      </x:c>
      <x:c r="R8" s="93" t="str">
        <x:v>https://www.espn.com/nba/boxscore/_/gameId/401070718</x:v>
      </x:c>
    </x:row>
    <x:row r="9">
      <x:c r="A9" s="93" t="n">
        <x:v>3</x:v>
      </x:c>
      <x:c r="B9" s="93" t="n">
        <x:v>6</x:v>
      </x:c>
      <x:c r="C9" s="94" t="n">
        <x:v>43402.5</x:v>
      </x:c>
      <x:c r="D9" s="93" t="str">
        <x:v>Philadelphia 76ers</x:v>
      </x:c>
      <x:c r="E9" s="93" t="str">
        <x:v>401070769</x:v>
      </x:c>
      <x:c r="F9" s="95" t="str">
        <x:v>PRE_ANDERSON</x:v>
      </x:c>
      <x:c r="G9" s="95" t="str">
        <x:v>Miles Plumlee</x:v>
      </x:c>
      <x:c r="H9" s="95" t="str">
        <x:v>PLAY</x:v>
      </x:c>
      <x:c r="I9" s="96" t="n">
        <x:v>10</x:v>
      </x:c>
      <x:c r="J9" s="96" t="n">
        <x:v>19</x:v>
      </x:c>
      <x:c r="K9" s="97" t="n">
        <x:f>J9-I9</x:f>
        <x:v>9</x:v>
      </x:c>
      <x:c r="L9" s="97" t="n">
        <x:v>7.3</x:v>
      </x:c>
      <x:c r="M9" s="97" t="n">
        <x:f>I9+L9</x:f>
        <x:v>17.3</x:v>
      </x:c>
      <x:c r="N9" s="97" t="n">
        <x:f>SUMIF($C$7:$C$37,C9,$L$7:$L$37)</x:f>
        <x:v>7.3</x:v>
      </x:c>
      <x:c r="O9" s="97" t="n">
        <x:f>SUMIF('Game Ledger'!$B$6:$B$87,C9,'Game Ledger'!$T$6:$T$87)</x:f>
        <x:v>7.3</x:v>
      </x:c>
      <x:c r="P9" s="97" t="n">
        <x:f>O9-N9</x:f>
        <x:v>0</x:v>
      </x:c>
      <x:c r="Q9" s="93" t="str">
        <x:v>S44</x:v>
      </x:c>
      <x:c r="R9" s="93" t="str">
        <x:v>https://www.espn.com/nba/boxscore/_/gameId/401070769</x:v>
      </x:c>
    </x:row>
    <x:row r="10">
      <x:c r="A10" s="93" t="n">
        <x:v>4</x:v>
      </x:c>
      <x:c r="B10" s="93" t="n">
        <x:v>7</x:v>
      </x:c>
      <x:c r="C10" s="94" t="n">
        <x:v>43403.5</x:v>
      </x:c>
      <x:c r="D10" s="93" t="str">
        <x:v>Cleveland Cavaliers</x:v>
      </x:c>
      <x:c r="E10" s="93" t="str">
        <x:v>401070778</x:v>
      </x:c>
      <x:c r="F10" s="95" t="str">
        <x:v>PRE_ANDERSON</x:v>
      </x:c>
      <x:c r="G10" s="95" t="str">
        <x:v>Miles Plumlee</x:v>
      </x:c>
      <x:c r="H10" s="95" t="str">
        <x:v>PLAY</x:v>
      </x:c>
      <x:c r="I10" s="96" t="n">
        <x:v>1</x:v>
      </x:c>
      <x:c r="J10" s="96" t="n">
        <x:v>19</x:v>
      </x:c>
      <x:c r="K10" s="97" t="n">
        <x:f>J10-I10</x:f>
        <x:v>18</x:v>
      </x:c>
      <x:c r="L10" s="97" t="n">
        <x:v>4.4</x:v>
      </x:c>
      <x:c r="M10" s="97" t="n">
        <x:f>I10+L10</x:f>
        <x:v>5.4</x:v>
      </x:c>
      <x:c r="N10" s="97" t="n">
        <x:f>SUMIF($C$7:$C$37,C10,$L$7:$L$37)</x:f>
        <x:v>4.4</x:v>
      </x:c>
      <x:c r="O10" s="97" t="n">
        <x:f>SUMIF('Game Ledger'!$B$6:$B$87,C10,'Game Ledger'!$T$6:$T$87)</x:f>
        <x:v>4.4</x:v>
      </x:c>
      <x:c r="P10" s="97" t="n">
        <x:f>O10-N10</x:f>
        <x:v>0</x:v>
      </x:c>
      <x:c r="Q10" s="93" t="str">
        <x:v>S44</x:v>
      </x:c>
      <x:c r="R10" s="93" t="str">
        <x:v>https://www.espn.com/nba/boxscore/_/gameId/401070778</x:v>
      </x:c>
    </x:row>
    <x:row r="11">
      <x:c r="A11" s="93" t="n">
        <x:v>5</x:v>
      </x:c>
      <x:c r="B11" s="93" t="n">
        <x:v>8</x:v>
      </x:c>
      <x:c r="C11" s="94" t="n">
        <x:v>43405.5</x:v>
      </x:c>
      <x:c r="D11" s="93" t="str">
        <x:v>Sacramento Kings</x:v>
      </x:c>
      <x:c r="E11" s="93" t="str">
        <x:v>401070795</x:v>
      </x:c>
      <x:c r="F11" s="95" t="str">
        <x:v>PRE_ANDERSON</x:v>
      </x:c>
      <x:c r="G11" s="95" t="str">
        <x:v>Alex Poythress</x:v>
      </x:c>
      <x:c r="H11" s="95" t="str">
        <x:v>PLAY</x:v>
      </x:c>
      <x:c r="I11" s="96" t="n">
        <x:v>17</x:v>
      </x:c>
      <x:c r="J11" s="96" t="n">
        <x:v>26</x:v>
      </x:c>
      <x:c r="K11" s="97" t="n">
        <x:f>J11-I11</x:f>
        <x:v>9</x:v>
      </x:c>
      <x:c r="L11" s="97" t="n">
        <x:v>4.5</x:v>
      </x:c>
      <x:c r="M11" s="97" t="n">
        <x:f>I11+L11</x:f>
        <x:v>21.5</x:v>
      </x:c>
      <x:c r="N11" s="97" t="n">
        <x:f>SUMIF($C$7:$C$37,C11,$L$7:$L$37)</x:f>
        <x:v>4.5</x:v>
      </x:c>
      <x:c r="O11" s="97" t="n">
        <x:f>SUMIF('Game Ledger'!$B$6:$B$87,C11,'Game Ledger'!$T$6:$T$87)</x:f>
        <x:v>4.5</x:v>
      </x:c>
      <x:c r="P11" s="97" t="n">
        <x:f>O11-N11</x:f>
        <x:v>0</x:v>
      </x:c>
      <x:c r="Q11" s="93" t="str">
        <x:v>S44</x:v>
      </x:c>
      <x:c r="R11" s="93" t="str">
        <x:v>https://www.espn.com/nba/boxscore/_/gameId/401070795</x:v>
      </x:c>
    </x:row>
    <x:row r="12">
      <x:c r="A12" s="93" t="n">
        <x:v>6</x:v>
      </x:c>
      <x:c r="B12" s="93" t="n">
        <x:v>9</x:v>
      </x:c>
      <x:c r="C12" s="94" t="n">
        <x:v>43407.5</x:v>
      </x:c>
      <x:c r="D12" s="93" t="str">
        <x:v>Miami Heat</x:v>
      </x:c>
      <x:c r="E12" s="93" t="str">
        <x:v>401070809</x:v>
      </x:c>
      <x:c r="F12" s="95" t="str">
        <x:v>PRE_ANDERSON</x:v>
      </x:c>
      <x:c r="G12" s="95" t="str">
        <x:v>Alex Poythress</x:v>
      </x:c>
      <x:c r="H12" s="95" t="str">
        <x:v>PLAY</x:v>
      </x:c>
      <x:c r="I12" s="96" t="n">
        <x:v>10</x:v>
      </x:c>
      <x:c r="J12" s="96" t="n">
        <x:v>26</x:v>
      </x:c>
      <x:c r="K12" s="97" t="n">
        <x:f>J12-I12</x:f>
        <x:v>16</x:v>
      </x:c>
      <x:c r="L12" s="97" t="n">
        <x:v>4.2</x:v>
      </x:c>
      <x:c r="M12" s="97" t="n">
        <x:f>I12+L12</x:f>
        <x:v>14.2</x:v>
      </x:c>
      <x:c r="N12" s="97" t="n">
        <x:f>SUMIF($C$7:$C$37,C12,$L$7:$L$37)</x:f>
        <x:v>4.2</x:v>
      </x:c>
      <x:c r="O12" s="97" t="n">
        <x:f>SUMIF('Game Ledger'!$B$6:$B$87,C12,'Game Ledger'!$T$6:$T$87)</x:f>
        <x:v>4.2</x:v>
      </x:c>
      <x:c r="P12" s="97" t="n">
        <x:f>O12-N12</x:f>
        <x:v>0</x:v>
      </x:c>
      <x:c r="Q12" s="93" t="str">
        <x:v>S44</x:v>
      </x:c>
      <x:c r="R12" s="93" t="str">
        <x:v>https://www.espn.com/nba/boxscore/_/gameId/401070809</x:v>
      </x:c>
    </x:row>
    <x:row r="13">
      <x:c r="A13" s="93" t="n">
        <x:v>7</x:v>
      </x:c>
      <x:c r="B13" s="93" t="n">
        <x:v>10</x:v>
      </x:c>
      <x:c r="C13" s="94" t="n">
        <x:v>43410.5</x:v>
      </x:c>
      <x:c r="D13" s="93" t="str">
        <x:v>Charlotte Hornets</x:v>
      </x:c>
      <x:c r="E13" s="93" t="str">
        <x:v>401070830</x:v>
      </x:c>
      <x:c r="F13" s="95" t="str">
        <x:v>PRE_ANDERSON</x:v>
      </x:c>
      <x:c r="G13" s="95" t="str">
        <x:v>Alex Poythress</x:v>
      </x:c>
      <x:c r="H13" s="95" t="str">
        <x:v>PLAY</x:v>
      </x:c>
      <x:c r="I13" s="96" t="n">
        <x:v>17</x:v>
      </x:c>
      <x:c r="J13" s="96" t="n">
        <x:v>26</x:v>
      </x:c>
      <x:c r="K13" s="97" t="n">
        <x:f>J13-I13</x:f>
        <x:v>9</x:v>
      </x:c>
      <x:c r="L13" s="97" t="n">
        <x:v>0.8</x:v>
      </x:c>
      <x:c r="M13" s="97" t="n">
        <x:f>I13+L13</x:f>
        <x:v>17.8</x:v>
      </x:c>
      <x:c r="N13" s="97" t="n">
        <x:f>SUMIF($C$7:$C$37,C13,$L$7:$L$37)</x:f>
        <x:v>0.8</x:v>
      </x:c>
      <x:c r="O13" s="97" t="n">
        <x:f>SUMIF('Game Ledger'!$B$6:$B$87,C13,'Game Ledger'!$T$6:$T$87)</x:f>
        <x:v>0.8</x:v>
      </x:c>
      <x:c r="P13" s="97" t="n">
        <x:f>O13-N13</x:f>
        <x:v>0</x:v>
      </x:c>
      <x:c r="Q13" s="93" t="str">
        <x:v>S44</x:v>
      </x:c>
      <x:c r="R13" s="93" t="str">
        <x:v>https://www.espn.com/nba/boxscore/_/gameId/401070830</x:v>
      </x:c>
    </x:row>
    <x:row r="14">
      <x:c r="A14" s="93" t="n">
        <x:v>8</x:v>
      </x:c>
      <x:c r="B14" s="93" t="n">
        <x:v>11</x:v>
      </x:c>
      <x:c r="C14" s="94" t="n">
        <x:v>43411.5</x:v>
      </x:c>
      <x:c r="D14" s="93" t="str">
        <x:v>New York Knicks</x:v>
      </x:c>
      <x:c r="E14" s="93" t="str">
        <x:v>401070836</x:v>
      </x:c>
      <x:c r="F14" s="95" t="str">
        <x:v>PRE_ANDERSON</x:v>
      </x:c>
      <x:c r="G14" s="95" t="str">
        <x:v>Alex Poythress</x:v>
      </x:c>
      <x:c r="H14" s="95" t="str">
        <x:v>PLAY</x:v>
      </x:c>
      <x:c r="I14" s="96" t="n">
        <x:v>9</x:v>
      </x:c>
      <x:c r="J14" s="96" t="n">
        <x:v>26</x:v>
      </x:c>
      <x:c r="K14" s="97" t="n">
        <x:f>J14-I14</x:f>
        <x:v>17</x:v>
      </x:c>
      <x:c r="L14" s="97" t="n">
        <x:v>12.5</x:v>
      </x:c>
      <x:c r="M14" s="97" t="n">
        <x:f>I14+L14</x:f>
        <x:v>21.5</x:v>
      </x:c>
      <x:c r="N14" s="97" t="n">
        <x:f>SUMIF($C$7:$C$37,C14,$L$7:$L$37)</x:f>
        <x:v>12.5</x:v>
      </x:c>
      <x:c r="O14" s="97" t="n">
        <x:f>SUMIF('Game Ledger'!$B$6:$B$87,C14,'Game Ledger'!$T$6:$T$87)</x:f>
        <x:v>12.5</x:v>
      </x:c>
      <x:c r="P14" s="97" t="n">
        <x:f>O14-N14</x:f>
        <x:v>0</x:v>
      </x:c>
      <x:c r="Q14" s="93" t="str">
        <x:v>S44</x:v>
      </x:c>
      <x:c r="R14" s="93" t="str">
        <x:v>https://www.espn.com/nba/boxscore/_/gameId/401070836</x:v>
      </x:c>
    </x:row>
    <x:row r="15">
      <x:c r="A15" s="93" t="n">
        <x:v>9</x:v>
      </x:c>
      <x:c r="B15" s="93" t="n">
        <x:v>12</x:v>
      </x:c>
      <x:c r="C15" s="94" t="n">
        <x:v>43413.5</x:v>
      </x:c>
      <x:c r="D15" s="93" t="str">
        <x:v>Detroit Pistons</x:v>
      </x:c>
      <x:c r="E15" s="93" t="str">
        <x:v>401070850</x:v>
      </x:c>
      <x:c r="F15" s="95" t="str">
        <x:v>PRE_ANDERSON</x:v>
      </x:c>
      <x:c r="G15" s="95" t="str">
        <x:v>Alex Poythress</x:v>
      </x:c>
      <x:c r="H15" s="95" t="str">
        <x:v>PLAY</x:v>
      </x:c>
      <x:c r="I15" s="96" t="n">
        <x:v>11</x:v>
      </x:c>
      <x:c r="J15" s="96" t="n">
        <x:v>26</x:v>
      </x:c>
      <x:c r="K15" s="97" t="n">
        <x:f>J15-I15</x:f>
        <x:v>15</x:v>
      </x:c>
      <x:c r="L15" s="97" t="n">
        <x:v>10.7</x:v>
      </x:c>
      <x:c r="M15" s="97" t="n">
        <x:f>I15+L15</x:f>
        <x:v>21.7</x:v>
      </x:c>
      <x:c r="N15" s="97" t="n">
        <x:f>SUMIF($C$7:$C$37,C15,$L$7:$L$37)</x:f>
        <x:v>10.7</x:v>
      </x:c>
      <x:c r="O15" s="97" t="n">
        <x:f>SUMIF('Game Ledger'!$B$6:$B$87,C15,'Game Ledger'!$T$6:$T$87)</x:f>
        <x:v>10.7</x:v>
      </x:c>
      <x:c r="P15" s="97" t="n">
        <x:f>O15-N15</x:f>
        <x:v>0</x:v>
      </x:c>
      <x:c r="Q15" s="93" t="str">
        <x:v>S44</x:v>
      </x:c>
      <x:c r="R15" s="93" t="str">
        <x:v>https://www.espn.com/nba/boxscore/_/gameId/401070850</x:v>
      </x:c>
    </x:row>
    <x:row r="16">
      <x:c r="A16" s="93" t="n">
        <x:v>10</x:v>
      </x:c>
      <x:c r="B16" s="93" t="n">
        <x:v>13</x:v>
      </x:c>
      <x:c r="C16" s="94" t="n">
        <x:v>43415.5</x:v>
      </x:c>
      <x:c r="D16" s="93" t="str">
        <x:v>Los Angeles Lakers</x:v>
      </x:c>
      <x:c r="E16" s="93" t="str">
        <x:v>401070870</x:v>
      </x:c>
      <x:c r="F16" s="95" t="str">
        <x:v>PRE_ANDERSON</x:v>
      </x:c>
      <x:c r="G16" s="95" t="str">
        <x:v>Alex Poythress</x:v>
      </x:c>
      <x:c r="H16" s="95" t="str">
        <x:v>PLAY</x:v>
      </x:c>
      <x:c r="I16" s="96" t="n">
        <x:v>3</x:v>
      </x:c>
      <x:c r="J16" s="96" t="n">
        <x:v>26</x:v>
      </x:c>
      <x:c r="K16" s="97" t="n">
        <x:f>J16-I16</x:f>
        <x:v>23</x:v>
      </x:c>
      <x:c r="L16" s="97" t="n">
        <x:v>11.9</x:v>
      </x:c>
      <x:c r="M16" s="97" t="n">
        <x:f>I16+L16</x:f>
        <x:v>14.9</x:v>
      </x:c>
      <x:c r="N16" s="97" t="n">
        <x:f>SUMIF($C$7:$C$37,C16,$L$7:$L$37)</x:f>
        <x:v>11.9</x:v>
      </x:c>
      <x:c r="O16" s="97" t="n">
        <x:f>SUMIF('Game Ledger'!$B$6:$B$87,C16,'Game Ledger'!$T$6:$T$87)</x:f>
        <x:v>11.9</x:v>
      </x:c>
      <x:c r="P16" s="97" t="n">
        <x:f>O16-N16</x:f>
        <x:v>0</x:v>
      </x:c>
      <x:c r="Q16" s="93" t="str">
        <x:v>S44</x:v>
      </x:c>
      <x:c r="R16" s="93" t="str">
        <x:v>https://www.espn.com/nba/boxscore/_/gameId/401070870</x:v>
      </x:c>
    </x:row>
    <x:row r="17">
      <x:c r="A17" s="93" t="n">
        <x:v>11</x:v>
      </x:c>
      <x:c r="B17" s="93" t="n">
        <x:v>15</x:v>
      </x:c>
      <x:c r="C17" s="94" t="n">
        <x:v>43419.5</x:v>
      </x:c>
      <x:c r="D17" s="93" t="str">
        <x:v>Denver Nuggets</x:v>
      </x:c>
      <x:c r="E17" s="93" t="str">
        <x:v>401070895</x:v>
      </x:c>
      <x:c r="F17" s="95" t="str">
        <x:v>PRE_ANDERSON</x:v>
      </x:c>
      <x:c r="G17" s="95" t="str">
        <x:v>Alex Poythress</x:v>
      </x:c>
      <x:c r="H17" s="95" t="str">
        <x:v>PLAY</x:v>
      </x:c>
      <x:c r="I17" s="96" t="n">
        <x:v>24</x:v>
      </x:c>
      <x:c r="J17" s="96" t="n">
        <x:v>26</x:v>
      </x:c>
      <x:c r="K17" s="97" t="n">
        <x:f>J17-I17</x:f>
        <x:v>2</x:v>
      </x:c>
      <x:c r="L17" s="97" t="n">
        <x:v>2</x:v>
      </x:c>
      <x:c r="M17" s="97" t="n">
        <x:f>I17+L17</x:f>
        <x:v>26</x:v>
      </x:c>
      <x:c r="N17" s="97" t="n">
        <x:f>SUMIF($C$7:$C$37,C17,$L$7:$L$37)</x:f>
        <x:v>10.7</x:v>
      </x:c>
      <x:c r="O17" s="97" t="n">
        <x:f>SUMIF('Game Ledger'!$B$6:$B$87,C17,'Game Ledger'!$T$6:$T$87)</x:f>
        <x:v>10.7</x:v>
      </x:c>
      <x:c r="P17" s="97" t="n">
        <x:f>O17-N17</x:f>
        <x:v>0</x:v>
      </x:c>
      <x:c r="Q17" s="93" t="str">
        <x:v>S44</x:v>
      </x:c>
      <x:c r="R17" s="93" t="str">
        <x:v>https://www.espn.com/nba/boxscore/_/gameId/401070895</x:v>
      </x:c>
    </x:row>
    <x:row r="18">
      <x:c r="A18" s="93" t="n">
        <x:v>12</x:v>
      </x:c>
      <x:c r="B18" s="93" t="n">
        <x:v>15</x:v>
      </x:c>
      <x:c r="C18" s="94" t="n">
        <x:v>43419.5</x:v>
      </x:c>
      <x:c r="D18" s="93" t="str">
        <x:v>Denver Nuggets</x:v>
      </x:c>
      <x:c r="E18" s="93" t="str">
        <x:v>401070895</x:v>
      </x:c>
      <x:c r="F18" s="95" t="str">
        <x:v>PRE_ANDERSON</x:v>
      </x:c>
      <x:c r="G18" s="95" t="str">
        <x:v>Daniel Hamilton</x:v>
      </x:c>
      <x:c r="H18" s="95" t="str">
        <x:v>PLAY</x:v>
      </x:c>
      <x:c r="I18" s="96" t="n">
        <x:v>8</x:v>
      </x:c>
      <x:c r="J18" s="96" t="n">
        <x:v>23</x:v>
      </x:c>
      <x:c r="K18" s="97" t="n">
        <x:f>J18-I18</x:f>
        <x:v>15</x:v>
      </x:c>
      <x:c r="L18" s="97" t="n">
        <x:v>8.7</x:v>
      </x:c>
      <x:c r="M18" s="97" t="n">
        <x:f>I18+L18</x:f>
        <x:v>16.7</x:v>
      </x:c>
      <x:c r="N18" s="97" t="n">
        <x:f>SUMIF($C$7:$C$37,C18,$L$7:$L$37)</x:f>
        <x:v>10.7</x:v>
      </x:c>
      <x:c r="O18" s="97" t="n">
        <x:f>SUMIF('Game Ledger'!$B$6:$B$87,C18,'Game Ledger'!$T$6:$T$87)</x:f>
        <x:v>10.7</x:v>
      </x:c>
      <x:c r="P18" s="97" t="n">
        <x:f>O18-N18</x:f>
        <x:v>0</x:v>
      </x:c>
      <x:c r="Q18" s="93" t="str">
        <x:v>S44</x:v>
      </x:c>
      <x:c r="R18" s="93" t="str">
        <x:v>https://www.espn.com/nba/boxscore/_/gameId/401070895</x:v>
      </x:c>
    </x:row>
    <x:row r="19">
      <x:c r="A19" s="93" t="n">
        <x:v>13</x:v>
      </x:c>
      <x:c r="B19" s="93" t="n">
        <x:v>17</x:v>
      </x:c>
      <x:c r="C19" s="94" t="n">
        <x:v>43423.5</x:v>
      </x:c>
      <x:c r="D19" s="93" t="str">
        <x:v>Los Angeles Clippers</x:v>
      </x:c>
      <x:c r="E19" s="93" t="str">
        <x:v>401070924</x:v>
      </x:c>
      <x:c r="F19" s="95" t="str">
        <x:v>ANDERSON_AVAILABLE</x:v>
      </x:c>
      <x:c r="G19" s="95" t="str">
        <x:v>Justin Anderson</x:v>
      </x:c>
      <x:c r="H19" s="95" t="str">
        <x:v>PLAY</x:v>
      </x:c>
      <x:c r="I19" s="96" t="n">
        <x:v>3</x:v>
      </x:c>
      <x:c r="J19" s="96" t="n">
        <x:v>31</x:v>
      </x:c>
      <x:c r="K19" s="97" t="n">
        <x:f>J19-I19</x:f>
        <x:v>28</x:v>
      </x:c>
      <x:c r="L19" s="97" t="n">
        <x:v>14.1</x:v>
      </x:c>
      <x:c r="M19" s="97" t="n">
        <x:f>I19+L19</x:f>
        <x:v>17.1</x:v>
      </x:c>
      <x:c r="N19" s="97" t="n">
        <x:f>SUMIF($C$7:$C$37,C19,$L$7:$L$37)</x:f>
        <x:v>14.1</x:v>
      </x:c>
      <x:c r="O19" s="97" t="n">
        <x:f>SUMIF('Game Ledger'!$B$6:$B$87,C19,'Game Ledger'!$T$6:$T$87)</x:f>
        <x:v>14.1</x:v>
      </x:c>
      <x:c r="P19" s="97" t="n">
        <x:f>O19-N19</x:f>
        <x:v>0</x:v>
      </x:c>
      <x:c r="Q19" s="93" t="str">
        <x:v>S44/S45</x:v>
      </x:c>
      <x:c r="R19" s="93" t="str">
        <x:v>https://www.espn.com/nba/boxscore/_/gameId/401070924</x:v>
      </x:c>
    </x:row>
    <x:row r="20">
      <x:c r="A20" s="93" t="n">
        <x:v>14</x:v>
      </x:c>
      <x:c r="B20" s="93" t="n">
        <x:v>21</x:v>
      </x:c>
      <x:c r="C20" s="94" t="n">
        <x:v>43431.5</x:v>
      </x:c>
      <x:c r="D20" s="93" t="str">
        <x:v>Miami Heat</x:v>
      </x:c>
      <x:c r="E20" s="93" t="str">
        <x:v>401070983</x:v>
      </x:c>
      <x:c r="F20" s="95" t="str">
        <x:v>ANDERSON_AVAILABLE</x:v>
      </x:c>
      <x:c r="G20" s="95" t="str">
        <x:v>Justin Anderson</x:v>
      </x:c>
      <x:c r="H20" s="95" t="str">
        <x:v>PLAY</x:v>
      </x:c>
      <x:c r="I20" s="96" t="n">
        <x:v>2</x:v>
      </x:c>
      <x:c r="J20" s="96" t="n">
        <x:v>31</x:v>
      </x:c>
      <x:c r="K20" s="97" t="n">
        <x:f>J20-I20</x:f>
        <x:v>29</x:v>
      </x:c>
      <x:c r="L20" s="97" t="n">
        <x:v>4.3</x:v>
      </x:c>
      <x:c r="M20" s="97" t="n">
        <x:f>I20+L20</x:f>
        <x:v>6.3</x:v>
      </x:c>
      <x:c r="N20" s="97" t="n">
        <x:f>SUMIF($C$7:$C$37,C20,$L$7:$L$37)</x:f>
        <x:v>4.3</x:v>
      </x:c>
      <x:c r="O20" s="97" t="n">
        <x:f>SUMIF('Game Ledger'!$B$6:$B$87,C20,'Game Ledger'!$T$6:$T$87)</x:f>
        <x:v>4.3</x:v>
      </x:c>
      <x:c r="P20" s="97" t="n">
        <x:f>O20-N20</x:f>
        <x:v>0</x:v>
      </x:c>
      <x:c r="Q20" s="93" t="str">
        <x:v>S44/S45</x:v>
      </x:c>
      <x:c r="R20" s="93" t="str">
        <x:v>https://www.espn.com/nba/boxscore/_/gameId/401070983</x:v>
      </x:c>
    </x:row>
    <x:row r="21">
      <x:c r="A21" s="93" t="n">
        <x:v>15</x:v>
      </x:c>
      <x:c r="B21" s="93" t="n">
        <x:v>22</x:v>
      </x:c>
      <x:c r="C21" s="94" t="n">
        <x:v>43432.5</x:v>
      </x:c>
      <x:c r="D21" s="93" t="str">
        <x:v>Charlotte Hornets</x:v>
      </x:c>
      <x:c r="E21" s="93" t="str">
        <x:v>401070987</x:v>
      </x:c>
      <x:c r="F21" s="95" t="str">
        <x:v>ANDERSON_AVAILABLE</x:v>
      </x:c>
      <x:c r="G21" s="95" t="str">
        <x:v>Justin Anderson</x:v>
      </x:c>
      <x:c r="H21" s="95" t="str">
        <x:v>PLAY</x:v>
      </x:c>
      <x:c r="I21" s="96" t="n">
        <x:v>17</x:v>
      </x:c>
      <x:c r="J21" s="96" t="n">
        <x:v>31</x:v>
      </x:c>
      <x:c r="K21" s="97" t="n">
        <x:f>J21-I21</x:f>
        <x:v>14</x:v>
      </x:c>
      <x:c r="L21" s="97" t="n">
        <x:v>5.6</x:v>
      </x:c>
      <x:c r="M21" s="97" t="n">
        <x:f>I21+L21</x:f>
        <x:v>22.6</x:v>
      </x:c>
      <x:c r="N21" s="97" t="n">
        <x:f>SUMIF($C$7:$C$37,C21,$L$7:$L$37)</x:f>
        <x:v>5.6</x:v>
      </x:c>
      <x:c r="O21" s="97" t="n">
        <x:f>SUMIF('Game Ledger'!$B$6:$B$87,C21,'Game Ledger'!$T$6:$T$87)</x:f>
        <x:v>5.6</x:v>
      </x:c>
      <x:c r="P21" s="97" t="n">
        <x:f>O21-N21</x:f>
        <x:v>0</x:v>
      </x:c>
      <x:c r="Q21" s="93" t="str">
        <x:v>S44/S45</x:v>
      </x:c>
      <x:c r="R21" s="93" t="str">
        <x:v>https://www.espn.com/nba/boxscore/_/gameId/401070987</x:v>
      </x:c>
    </x:row>
    <x:row r="22">
      <x:c r="A22" s="93" t="n">
        <x:v>16</x:v>
      </x:c>
      <x:c r="B22" s="93" t="n">
        <x:v>39</x:v>
      </x:c>
      <x:c r="C22" s="94" t="n">
        <x:v>43471.5</x:v>
      </x:c>
      <x:c r="D22" s="93" t="str">
        <x:v>Miami Heat</x:v>
      </x:c>
      <x:c r="E22" s="93" t="str">
        <x:v>401071263</x:v>
      </x:c>
      <x:c r="F22" s="95" t="str">
        <x:v>ANDERSON_AVAILABLE</x:v>
      </x:c>
      <x:c r="G22" s="95" t="str">
        <x:v>Justin Anderson</x:v>
      </x:c>
      <x:c r="H22" s="95" t="str">
        <x:v>PLAY</x:v>
      </x:c>
      <x:c r="I22" s="96" t="n">
        <x:v>3</x:v>
      </x:c>
      <x:c r="J22" s="96" t="n">
        <x:v>31</x:v>
      </x:c>
      <x:c r="K22" s="97" t="n">
        <x:f>J22-I22</x:f>
        <x:v>28</x:v>
      </x:c>
      <x:c r="L22" s="97" t="n">
        <x:v>2.7</x:v>
      </x:c>
      <x:c r="M22" s="97" t="n">
        <x:f>I22+L22</x:f>
        <x:v>5.7</x:v>
      </x:c>
      <x:c r="N22" s="97" t="n">
        <x:f>SUMIF($C$7:$C$37,C22,$L$7:$L$37)</x:f>
        <x:v>2.7</x:v>
      </x:c>
      <x:c r="O22" s="97" t="n">
        <x:f>SUMIF('Game Ledger'!$B$6:$B$87,C22,'Game Ledger'!$T$6:$T$87)</x:f>
        <x:v>2.7</x:v>
      </x:c>
      <x:c r="P22" s="97" t="n">
        <x:f>O22-N22</x:f>
        <x:v>0</x:v>
      </x:c>
      <x:c r="Q22" s="93" t="str">
        <x:v>S44/S45</x:v>
      </x:c>
      <x:c r="R22" s="93" t="str">
        <x:v>https://www.espn.com/nba/boxscore/_/gameId/401071263</x:v>
      </x:c>
    </x:row>
    <x:row r="23">
      <x:c r="A23" s="93" t="n">
        <x:v>17</x:v>
      </x:c>
      <x:c r="B23" s="93" t="n">
        <x:v>42</x:v>
      </x:c>
      <x:c r="C23" s="94" t="n">
        <x:v>43476.5</x:v>
      </x:c>
      <x:c r="D23" s="93" t="str">
        <x:v>Philadelphia 76ers</x:v>
      </x:c>
      <x:c r="E23" s="93" t="str">
        <x:v>401071297</x:v>
      </x:c>
      <x:c r="F23" s="95" t="str">
        <x:v>ANDERSON_AVAILABLE</x:v>
      </x:c>
      <x:c r="G23" s="95" t="str">
        <x:v>Justin Anderson</x:v>
      </x:c>
      <x:c r="H23" s="95" t="str">
        <x:v>PLAY</x:v>
      </x:c>
      <x:c r="I23" s="96" t="n">
        <x:v>11</x:v>
      </x:c>
      <x:c r="J23" s="96" t="n">
        <x:v>31</x:v>
      </x:c>
      <x:c r="K23" s="97" t="n">
        <x:f>J23-I23</x:f>
        <x:v>20</x:v>
      </x:c>
      <x:c r="L23" s="97" t="n">
        <x:v>2.9</x:v>
      </x:c>
      <x:c r="M23" s="97" t="n">
        <x:f>I23+L23</x:f>
        <x:v>13.9</x:v>
      </x:c>
      <x:c r="N23" s="97" t="n">
        <x:f>SUMIF($C$7:$C$37,C23,$L$7:$L$37)</x:f>
        <x:v>2.9</x:v>
      </x:c>
      <x:c r="O23" s="97" t="n">
        <x:f>SUMIF('Game Ledger'!$B$6:$B$87,C23,'Game Ledger'!$T$6:$T$87)</x:f>
        <x:v>2.9</x:v>
      </x:c>
      <x:c r="P23" s="97" t="n">
        <x:f>O23-N23</x:f>
        <x:v>0</x:v>
      </x:c>
      <x:c r="Q23" s="93" t="str">
        <x:v>S44/S45</x:v>
      </x:c>
      <x:c r="R23" s="93" t="str">
        <x:v>https://www.espn.com/nba/boxscore/_/gameId/401071297</x:v>
      </x:c>
    </x:row>
    <x:row r="24">
      <x:c r="A24" s="93" t="n">
        <x:v>18</x:v>
      </x:c>
      <x:c r="B24" s="93" t="n">
        <x:v>43</x:v>
      </x:c>
      <x:c r="C24" s="94" t="n">
        <x:v>43478.5</x:v>
      </x:c>
      <x:c r="D24" s="93" t="str">
        <x:v>Milwaukee Bucks</x:v>
      </x:c>
      <x:c r="E24" s="93" t="str">
        <x:v>401071316</x:v>
      </x:c>
      <x:c r="F24" s="95" t="str">
        <x:v>ANDERSON_AVAILABLE</x:v>
      </x:c>
      <x:c r="G24" s="95" t="str">
        <x:v>Justin Anderson</x:v>
      </x:c>
      <x:c r="H24" s="95" t="str">
        <x:v>PLAY</x:v>
      </x:c>
      <x:c r="I24" s="96" t="n">
        <x:v>3</x:v>
      </x:c>
      <x:c r="J24" s="96" t="n">
        <x:v>31</x:v>
      </x:c>
      <x:c r="K24" s="97" t="n">
        <x:f>J24-I24</x:f>
        <x:v>28</x:v>
      </x:c>
      <x:c r="L24" s="97" t="n">
        <x:v>13.9</x:v>
      </x:c>
      <x:c r="M24" s="97" t="n">
        <x:f>I24+L24</x:f>
        <x:v>16.9</x:v>
      </x:c>
      <x:c r="N24" s="97" t="n">
        <x:f>SUMIF($C$7:$C$37,C24,$L$7:$L$37)</x:f>
        <x:v>13.9</x:v>
      </x:c>
      <x:c r="O24" s="97" t="n">
        <x:f>SUMIF('Game Ledger'!$B$6:$B$87,C24,'Game Ledger'!$T$6:$T$87)</x:f>
        <x:v>13.9</x:v>
      </x:c>
      <x:c r="P24" s="97" t="n">
        <x:f>O24-N24</x:f>
        <x:v>0</x:v>
      </x:c>
      <x:c r="Q24" s="93" t="str">
        <x:v>S44/S45</x:v>
      </x:c>
      <x:c r="R24" s="93" t="str">
        <x:v>https://www.espn.com/nba/boxscore/_/gameId/401071316</x:v>
      </x:c>
    </x:row>
    <x:row r="25">
      <x:c r="A25" s="93" t="n">
        <x:v>19</x:v>
      </x:c>
      <x:c r="B25" s="93" t="n">
        <x:v>44</x:v>
      </x:c>
      <x:c r="C25" s="94" t="n">
        <x:v>43480.5</x:v>
      </x:c>
      <x:c r="D25" s="93" t="str">
        <x:v>Oklahoma City Thunder</x:v>
      </x:c>
      <x:c r="E25" s="93" t="str">
        <x:v>401071329</x:v>
      </x:c>
      <x:c r="F25" s="95" t="str">
        <x:v>ANDERSON_AVAILABLE</x:v>
      </x:c>
      <x:c r="G25" s="95" t="str">
        <x:v>Justin Anderson</x:v>
      </x:c>
      <x:c r="H25" s="95" t="str">
        <x:v>DNP-CD</x:v>
      </x:c>
      <x:c r="I25" s="96" t="n">
        <x:v>0</x:v>
      </x:c>
      <x:c r="J25" s="96" t="n">
        <x:v>31</x:v>
      </x:c>
      <x:c r="K25" s="97" t="n">
        <x:f>J25-I25</x:f>
        <x:v>31</x:v>
      </x:c>
      <x:c r="L25" s="97" t="n">
        <x:v>5.9</x:v>
      </x:c>
      <x:c r="M25" s="97" t="n">
        <x:f>I25+L25</x:f>
        <x:v>5.9</x:v>
      </x:c>
      <x:c r="N25" s="97" t="n">
        <x:f>SUMIF($C$7:$C$37,C25,$L$7:$L$37)</x:f>
        <x:v>5.9</x:v>
      </x:c>
      <x:c r="O25" s="97" t="n">
        <x:f>SUMIF('Game Ledger'!$B$6:$B$87,C25,'Game Ledger'!$T$6:$T$87)</x:f>
        <x:v>5.9</x:v>
      </x:c>
      <x:c r="P25" s="97" t="n">
        <x:f>O25-N25</x:f>
        <x:v>0</x:v>
      </x:c>
      <x:c r="Q25" s="93" t="str">
        <x:v>S44/S45</x:v>
      </x:c>
      <x:c r="R25" s="93" t="str">
        <x:v>https://www.espn.com/nba/boxscore/_/gameId/401071329</x:v>
      </x:c>
    </x:row>
    <x:row r="26">
      <x:c r="A26" s="93" t="n">
        <x:v>20</x:v>
      </x:c>
      <x:c r="B26" s="93" t="n">
        <x:v>46</x:v>
      </x:c>
      <x:c r="C26" s="94" t="n">
        <x:v>43486.5</x:v>
      </x:c>
      <x:c r="D26" s="93" t="str">
        <x:v>Orlando Magic</x:v>
      </x:c>
      <x:c r="E26" s="93" t="str">
        <x:v>401071371</x:v>
      </x:c>
      <x:c r="F26" s="95" t="str">
        <x:v>ANDERSON_AVAILABLE</x:v>
      </x:c>
      <x:c r="G26" s="95" t="str">
        <x:v>Justin Anderson</x:v>
      </x:c>
      <x:c r="H26" s="95" t="str">
        <x:v>DNP-CD</x:v>
      </x:c>
      <x:c r="I26" s="96" t="n">
        <x:v>0</x:v>
      </x:c>
      <x:c r="J26" s="96" t="n">
        <x:v>31</x:v>
      </x:c>
      <x:c r="K26" s="97" t="n">
        <x:f>J26-I26</x:f>
        <x:v>31</x:v>
      </x:c>
      <x:c r="L26" s="97" t="n">
        <x:v>0.7</x:v>
      </x:c>
      <x:c r="M26" s="97" t="n">
        <x:f>I26+L26</x:f>
        <x:v>0.7</x:v>
      </x:c>
      <x:c r="N26" s="97" t="n">
        <x:f>SUMIF($C$7:$C$37,C26,$L$7:$L$37)</x:f>
        <x:v>0.7</x:v>
      </x:c>
      <x:c r="O26" s="97" t="n">
        <x:f>SUMIF('Game Ledger'!$B$6:$B$87,C26,'Game Ledger'!$T$6:$T$87)</x:f>
        <x:v>0.7</x:v>
      </x:c>
      <x:c r="P26" s="97" t="n">
        <x:f>O26-N26</x:f>
        <x:v>0</x:v>
      </x:c>
      <x:c r="Q26" s="93" t="str">
        <x:v>S44/S45</x:v>
      </x:c>
      <x:c r="R26" s="93" t="str">
        <x:v>https://www.espn.com/nba/boxscore/_/gameId/401071371</x:v>
      </x:c>
    </x:row>
    <x:row r="27">
      <x:c r="A27" s="93" t="n">
        <x:v>21</x:v>
      </x:c>
      <x:c r="B27" s="93" t="n">
        <x:v>47</x:v>
      </x:c>
      <x:c r="C27" s="94" t="n">
        <x:v>43488.5</x:v>
      </x:c>
      <x:c r="D27" s="93" t="str">
        <x:v>Chicago Bulls</x:v>
      </x:c>
      <x:c r="E27" s="93" t="str">
        <x:v>401071385</x:v>
      </x:c>
      <x:c r="F27" s="95" t="str">
        <x:v>ANDERSON_AVAILABLE</x:v>
      </x:c>
      <x:c r="G27" s="95" t="str">
        <x:v>Justin Anderson</x:v>
      </x:c>
      <x:c r="H27" s="95" t="str">
        <x:v>PLAY</x:v>
      </x:c>
      <x:c r="I27" s="96" t="n">
        <x:v>18</x:v>
      </x:c>
      <x:c r="J27" s="96" t="n">
        <x:v>31</x:v>
      </x:c>
      <x:c r="K27" s="97" t="n">
        <x:f>J27-I27</x:f>
        <x:v>13</x:v>
      </x:c>
      <x:c r="L27" s="97" t="n">
        <x:v>3.6</x:v>
      </x:c>
      <x:c r="M27" s="97" t="n">
        <x:f>I27+L27</x:f>
        <x:v>21.6</x:v>
      </x:c>
      <x:c r="N27" s="97" t="n">
        <x:f>SUMIF($C$7:$C$37,C27,$L$7:$L$37)</x:f>
        <x:v>3.6</x:v>
      </x:c>
      <x:c r="O27" s="97" t="n">
        <x:f>SUMIF('Game Ledger'!$B$6:$B$87,C27,'Game Ledger'!$T$6:$T$87)</x:f>
        <x:v>3.6</x:v>
      </x:c>
      <x:c r="P27" s="97" t="n">
        <x:f>O27-N27</x:f>
        <x:v>0</x:v>
      </x:c>
      <x:c r="Q27" s="93" t="str">
        <x:v>S44/S45</x:v>
      </x:c>
      <x:c r="R27" s="93" t="str">
        <x:v>https://www.espn.com/nba/boxscore/_/gameId/401071385</x:v>
      </x:c>
    </x:row>
    <x:row r="28">
      <x:c r="A28" s="93" t="n">
        <x:v>22</x:v>
      </x:c>
      <x:c r="B28" s="93" t="n">
        <x:v>50</x:v>
      </x:c>
      <x:c r="C28" s="94" t="n">
        <x:v>43495.5</x:v>
      </x:c>
      <x:c r="D28" s="93" t="str">
        <x:v>Sacramento Kings</x:v>
      </x:c>
      <x:c r="E28" s="93" t="str">
        <x:v>401071435</x:v>
      </x:c>
      <x:c r="F28" s="95" t="str">
        <x:v>ANDERSON_AVAILABLE</x:v>
      </x:c>
      <x:c r="G28" s="95" t="str">
        <x:v>Justin Anderson</x:v>
      </x:c>
      <x:c r="H28" s="95" t="str">
        <x:v>PLAY</x:v>
      </x:c>
      <x:c r="I28" s="96" t="n">
        <x:v>3</x:v>
      </x:c>
      <x:c r="J28" s="96" t="n">
        <x:v>31</x:v>
      </x:c>
      <x:c r="K28" s="97" t="n">
        <x:f>J28-I28</x:f>
        <x:v>28</x:v>
      </x:c>
      <x:c r="L28" s="97" t="n">
        <x:v>8.1</x:v>
      </x:c>
      <x:c r="M28" s="97" t="n">
        <x:f>I28+L28</x:f>
        <x:v>11.1</x:v>
      </x:c>
      <x:c r="N28" s="97" t="n">
        <x:f>SUMIF($C$7:$C$37,C28,$L$7:$L$37)</x:f>
        <x:v>8.1</x:v>
      </x:c>
      <x:c r="O28" s="97" t="n">
        <x:f>SUMIF('Game Ledger'!$B$6:$B$87,C28,'Game Ledger'!$T$6:$T$87)</x:f>
        <x:v>8.1</x:v>
      </x:c>
      <x:c r="P28" s="97" t="n">
        <x:f>O28-N28</x:f>
        <x:v>0</x:v>
      </x:c>
      <x:c r="Q28" s="93" t="str">
        <x:v>S44/S45</x:v>
      </x:c>
      <x:c r="R28" s="93" t="str">
        <x:v>https://www.espn.com/nba/boxscore/_/gameId/401071435</x:v>
      </x:c>
    </x:row>
    <x:row r="29">
      <x:c r="A29" s="93" t="n">
        <x:v>23</x:v>
      </x:c>
      <x:c r="B29" s="93" t="n">
        <x:v>51</x:v>
      </x:c>
      <x:c r="C29" s="94" t="n">
        <x:v>43497.5</x:v>
      </x:c>
      <x:c r="D29" s="93" t="str">
        <x:v>Utah Jazz</x:v>
      </x:c>
      <x:c r="E29" s="93" t="str">
        <x:v>401071446</x:v>
      </x:c>
      <x:c r="F29" s="95" t="str">
        <x:v>ANDERSON_NOT_LISTED</x:v>
      </x:c>
      <x:c r="G29" s="95" t="str">
        <x:v>Daniel Hamilton</x:v>
      </x:c>
      <x:c r="H29" s="95" t="str">
        <x:v>PLAY</x:v>
      </x:c>
      <x:c r="I29" s="96" t="n">
        <x:v>2</x:v>
      </x:c>
      <x:c r="J29" s="96" t="n">
        <x:v>23</x:v>
      </x:c>
      <x:c r="K29" s="97" t="n">
        <x:f>J29-I29</x:f>
        <x:v>21</x:v>
      </x:c>
      <x:c r="L29" s="97" t="n">
        <x:v>2.7</x:v>
      </x:c>
      <x:c r="M29" s="97" t="n">
        <x:f>I29+L29</x:f>
        <x:v>4.7</x:v>
      </x:c>
      <x:c r="N29" s="97" t="n">
        <x:f>SUMIF($C$7:$C$37,C29,$L$7:$L$37)</x:f>
        <x:v>2.7</x:v>
      </x:c>
      <x:c r="O29" s="97" t="n">
        <x:f>SUMIF('Game Ledger'!$B$6:$B$87,C29,'Game Ledger'!$T$6:$T$87)</x:f>
        <x:v>2.7</x:v>
      </x:c>
      <x:c r="P29" s="97" t="n">
        <x:f>O29-N29</x:f>
        <x:v>0</x:v>
      </x:c>
      <x:c r="Q29" s="93" t="str">
        <x:v>S44</x:v>
      </x:c>
      <x:c r="R29" s="93" t="str">
        <x:v>https://www.espn.com/nba/boxscore/_/gameId/401071446</x:v>
      </x:c>
    </x:row>
    <x:row r="30">
      <x:c r="A30" s="93" t="n">
        <x:v>24</x:v>
      </x:c>
      <x:c r="B30" s="93" t="n">
        <x:v>53</x:v>
      </x:c>
      <x:c r="C30" s="94" t="n">
        <x:v>43500.5</x:v>
      </x:c>
      <x:c r="D30" s="93" t="str">
        <x:v>Washington Wizards</x:v>
      </x:c>
      <x:c r="E30" s="93" t="str">
        <x:v>401071464</x:v>
      </x:c>
      <x:c r="F30" s="95" t="str">
        <x:v>ANDERSON_AVAILABLE</x:v>
      </x:c>
      <x:c r="G30" s="95" t="str">
        <x:v>Justin Anderson</x:v>
      </x:c>
      <x:c r="H30" s="95" t="str">
        <x:v>DNP-CD</x:v>
      </x:c>
      <x:c r="I30" s="96" t="n">
        <x:v>0</x:v>
      </x:c>
      <x:c r="J30" s="96" t="n">
        <x:v>31</x:v>
      </x:c>
      <x:c r="K30" s="97" t="n">
        <x:f>J30-I30</x:f>
        <x:v>31</x:v>
      </x:c>
      <x:c r="L30" s="97" t="n">
        <x:v>13.9</x:v>
      </x:c>
      <x:c r="M30" s="97" t="n">
        <x:f>I30+L30</x:f>
        <x:v>13.9</x:v>
      </x:c>
      <x:c r="N30" s="97" t="n">
        <x:f>SUMIF($C$7:$C$37,C30,$L$7:$L$37)</x:f>
        <x:v>13.9</x:v>
      </x:c>
      <x:c r="O30" s="97" t="n">
        <x:f>SUMIF('Game Ledger'!$B$6:$B$87,C30,'Game Ledger'!$T$6:$T$87)</x:f>
        <x:v>13.9</x:v>
      </x:c>
      <x:c r="P30" s="97" t="n">
        <x:f>O30-N30</x:f>
        <x:v>0</x:v>
      </x:c>
      <x:c r="Q30" s="93" t="str">
        <x:v>S44/S45</x:v>
      </x:c>
      <x:c r="R30" s="93" t="str">
        <x:v>https://www.espn.com/nba/boxscore/_/gameId/401071464</x:v>
      </x:c>
    </x:row>
    <x:row r="31">
      <x:c r="A31" s="93" t="n">
        <x:v>25</x:v>
      </x:c>
      <x:c r="B31" s="93" t="n">
        <x:v>56</x:v>
      </x:c>
      <x:c r="C31" s="94" t="n">
        <x:v>43506.5</x:v>
      </x:c>
      <x:c r="D31" s="93" t="str">
        <x:v>Orlando Magic</x:v>
      </x:c>
      <x:c r="E31" s="93" t="str">
        <x:v>401071510</x:v>
      </x:c>
      <x:c r="F31" s="95" t="str">
        <x:v>ANDERSON_AVAILABLE</x:v>
      </x:c>
      <x:c r="G31" s="95" t="str">
        <x:v>Justin Anderson</x:v>
      </x:c>
      <x:c r="H31" s="95" t="str">
        <x:v>PLAY</x:v>
      </x:c>
      <x:c r="I31" s="96" t="n">
        <x:v>9</x:v>
      </x:c>
      <x:c r="J31" s="96" t="n">
        <x:v>31</x:v>
      </x:c>
      <x:c r="K31" s="97" t="n">
        <x:f>J31-I31</x:f>
        <x:v>22</x:v>
      </x:c>
      <x:c r="L31" s="97" t="n">
        <x:v>10.3</x:v>
      </x:c>
      <x:c r="M31" s="97" t="n">
        <x:f>I31+L31</x:f>
        <x:v>19.3</x:v>
      </x:c>
      <x:c r="N31" s="97" t="n">
        <x:f>SUMIF($C$7:$C$37,C31,$L$7:$L$37)</x:f>
        <x:v>10.3</x:v>
      </x:c>
      <x:c r="O31" s="97" t="n">
        <x:f>SUMIF('Game Ledger'!$B$6:$B$87,C31,'Game Ledger'!$T$6:$T$87)</x:f>
        <x:v>10.3</x:v>
      </x:c>
      <x:c r="P31" s="97" t="n">
        <x:f>O31-N31</x:f>
        <x:v>0</x:v>
      </x:c>
      <x:c r="Q31" s="93" t="str">
        <x:v>S44/S45</x:v>
      </x:c>
      <x:c r="R31" s="93" t="str">
        <x:v>https://www.espn.com/nba/boxscore/_/gameId/401071510</x:v>
      </x:c>
    </x:row>
    <x:row r="32">
      <x:c r="A32" s="93" t="n">
        <x:v>26</x:v>
      </x:c>
      <x:c r="B32" s="93" t="n">
        <x:v>58</x:v>
      </x:c>
      <x:c r="C32" s="94" t="n">
        <x:v>43510.5</x:v>
      </x:c>
      <x:c r="D32" s="93" t="str">
        <x:v>New York Knicks</x:v>
      </x:c>
      <x:c r="E32" s="93" t="str">
        <x:v>401071538</x:v>
      </x:c>
      <x:c r="F32" s="95" t="str">
        <x:v>ANDERSON_AVAILABLE</x:v>
      </x:c>
      <x:c r="G32" s="95" t="str">
        <x:v>Justin Anderson</x:v>
      </x:c>
      <x:c r="H32" s="95" t="str">
        <x:v>PLAY</x:v>
      </x:c>
      <x:c r="I32" s="96" t="n">
        <x:v>5</x:v>
      </x:c>
      <x:c r="J32" s="96" t="n">
        <x:v>31</x:v>
      </x:c>
      <x:c r="K32" s="97" t="n">
        <x:f>J32-I32</x:f>
        <x:v>26</x:v>
      </x:c>
      <x:c r="L32" s="97" t="n">
        <x:v>1.1</x:v>
      </x:c>
      <x:c r="M32" s="97" t="n">
        <x:f>I32+L32</x:f>
        <x:v>6.1</x:v>
      </x:c>
      <x:c r="N32" s="97" t="n">
        <x:f>SUMIF($C$7:$C$37,C32,$L$7:$L$37)</x:f>
        <x:v>1.1</x:v>
      </x:c>
      <x:c r="O32" s="97" t="n">
        <x:f>SUMIF('Game Ledger'!$B$6:$B$87,C32,'Game Ledger'!$T$6:$T$87)</x:f>
        <x:v>1.1</x:v>
      </x:c>
      <x:c r="P32" s="97" t="n">
        <x:f>O32-N32</x:f>
        <x:v>0</x:v>
      </x:c>
      <x:c r="Q32" s="93" t="str">
        <x:v>S44/S45</x:v>
      </x:c>
      <x:c r="R32" s="93" t="str">
        <x:v>https://www.espn.com/nba/boxscore/_/gameId/401071538</x:v>
      </x:c>
    </x:row>
    <x:row r="33">
      <x:c r="A33" s="93" t="n">
        <x:v>27</x:v>
      </x:c>
      <x:c r="B33" s="93" t="n">
        <x:v>59</x:v>
      </x:c>
      <x:c r="C33" s="94" t="n">
        <x:v>43518.5</x:v>
      </x:c>
      <x:c r="D33" s="93" t="str">
        <x:v>Detroit Pistons</x:v>
      </x:c>
      <x:c r="E33" s="93" t="str">
        <x:v>401071550</x:v>
      </x:c>
      <x:c r="F33" s="95" t="str">
        <x:v>ANDERSON_AVAILABLE</x:v>
      </x:c>
      <x:c r="G33" s="95" t="str">
        <x:v>Justin Anderson</x:v>
      </x:c>
      <x:c r="H33" s="95" t="str">
        <x:v>DNP-CD</x:v>
      </x:c>
      <x:c r="I33" s="96" t="n">
        <x:v>0</x:v>
      </x:c>
      <x:c r="J33" s="96" t="n">
        <x:v>31</x:v>
      </x:c>
      <x:c r="K33" s="97" t="n">
        <x:f>J33-I33</x:f>
        <x:v>31</x:v>
      </x:c>
      <x:c r="L33" s="97" t="n">
        <x:v>2.7</x:v>
      </x:c>
      <x:c r="M33" s="97" t="n">
        <x:f>I33+L33</x:f>
        <x:v>2.7</x:v>
      </x:c>
      <x:c r="N33" s="97" t="n">
        <x:f>SUMIF($C$7:$C$37,C33,$L$7:$L$37)</x:f>
        <x:v>2.7</x:v>
      </x:c>
      <x:c r="O33" s="97" t="n">
        <x:f>SUMIF('Game Ledger'!$B$6:$B$87,C33,'Game Ledger'!$T$6:$T$87)</x:f>
        <x:v>2.7</x:v>
      </x:c>
      <x:c r="P33" s="97" t="n">
        <x:f>O33-N33</x:f>
        <x:v>0</x:v>
      </x:c>
      <x:c r="Q33" s="93" t="str">
        <x:v>S44/S45</x:v>
      </x:c>
      <x:c r="R33" s="93" t="str">
        <x:v>https://www.espn.com/nba/boxscore/_/gameId/401071550</x:v>
      </x:c>
    </x:row>
    <x:row r="34">
      <x:c r="A34" s="93" t="n">
        <x:v>28</x:v>
      </x:c>
      <x:c r="B34" s="93" t="n">
        <x:v>60</x:v>
      </x:c>
      <x:c r="C34" s="94" t="n">
        <x:v>43519.5</x:v>
      </x:c>
      <x:c r="D34" s="93" t="str">
        <x:v>Phoenix Suns</x:v>
      </x:c>
      <x:c r="E34" s="93" t="str">
        <x:v>401071556</x:v>
      </x:c>
      <x:c r="F34" s="95" t="str">
        <x:v>ANDERSON_AVAILABLE</x:v>
      </x:c>
      <x:c r="G34" s="95" t="str">
        <x:v>Justin Anderson</x:v>
      </x:c>
      <x:c r="H34" s="95" t="str">
        <x:v>PLAY</x:v>
      </x:c>
      <x:c r="I34" s="96" t="n">
        <x:v>6</x:v>
      </x:c>
      <x:c r="J34" s="96" t="n">
        <x:v>31</x:v>
      </x:c>
      <x:c r="K34" s="97" t="n">
        <x:f>J34-I34</x:f>
        <x:v>25</x:v>
      </x:c>
      <x:c r="L34" s="97" t="n">
        <x:v>5.5</x:v>
      </x:c>
      <x:c r="M34" s="97" t="n">
        <x:f>I34+L34</x:f>
        <x:v>11.5</x:v>
      </x:c>
      <x:c r="N34" s="97" t="n">
        <x:f>SUMIF($C$7:$C$37,C34,$L$7:$L$37)</x:f>
        <x:v>5.5</x:v>
      </x:c>
      <x:c r="O34" s="97" t="n">
        <x:f>SUMIF('Game Ledger'!$B$6:$B$87,C34,'Game Ledger'!$T$6:$T$87)</x:f>
        <x:v>5.5</x:v>
      </x:c>
      <x:c r="P34" s="97" t="n">
        <x:f>O34-N34</x:f>
        <x:v>0</x:v>
      </x:c>
      <x:c r="Q34" s="93" t="str">
        <x:v>S44/S45</x:v>
      </x:c>
      <x:c r="R34" s="93" t="str">
        <x:v>https://www.espn.com/nba/boxscore/_/gameId/401071556</x:v>
      </x:c>
    </x:row>
    <x:row r="35">
      <x:c r="A35" s="93" t="n">
        <x:v>29</x:v>
      </x:c>
      <x:c r="B35" s="93" t="n">
        <x:v>61</x:v>
      </x:c>
      <x:c r="C35" s="94" t="n">
        <x:v>43521.5</x:v>
      </x:c>
      <x:c r="D35" s="93" t="str">
        <x:v>Houston Rockets</x:v>
      </x:c>
      <x:c r="E35" s="93" t="str">
        <x:v>401071576</x:v>
      </x:c>
      <x:c r="F35" s="95" t="str">
        <x:v>ANDERSON_AVAILABLE</x:v>
      </x:c>
      <x:c r="G35" s="95" t="str">
        <x:v>Justin Anderson</x:v>
      </x:c>
      <x:c r="H35" s="95" t="str">
        <x:v>PLAY</x:v>
      </x:c>
      <x:c r="I35" s="96" t="n">
        <x:v>0</x:v>
      </x:c>
      <x:c r="J35" s="96" t="n">
        <x:v>31</x:v>
      </x:c>
      <x:c r="K35" s="97" t="n">
        <x:f>J35-I35</x:f>
        <x:v>31</x:v>
      </x:c>
      <x:c r="L35" s="97" t="n">
        <x:v>4</x:v>
      </x:c>
      <x:c r="M35" s="97" t="n">
        <x:f>I35+L35</x:f>
        <x:v>4</x:v>
      </x:c>
      <x:c r="N35" s="97" t="n">
        <x:f>SUMIF($C$7:$C$37,C35,$L$7:$L$37)</x:f>
        <x:v>4</x:v>
      </x:c>
      <x:c r="O35" s="97" t="n">
        <x:f>SUMIF('Game Ledger'!$B$6:$B$87,C35,'Game Ledger'!$T$6:$T$87)</x:f>
        <x:v>4</x:v>
      </x:c>
      <x:c r="P35" s="97" t="n">
        <x:f>O35-N35</x:f>
        <x:v>0</x:v>
      </x:c>
      <x:c r="Q35" s="93" t="str">
        <x:v>S44/S45</x:v>
      </x:c>
      <x:c r="R35" s="93" t="str">
        <x:v>https://www.espn.com/nba/boxscore/_/gameId/401071576</x:v>
      </x:c>
    </x:row>
    <x:row r="36">
      <x:c r="A36" s="93" t="n">
        <x:v>30</x:v>
      </x:c>
      <x:c r="B36" s="93" t="n">
        <x:v>62</x:v>
      </x:c>
      <x:c r="C36" s="94" t="n">
        <x:v>43523.5</x:v>
      </x:c>
      <x:c r="D36" s="93" t="str">
        <x:v>Minnesota Timberwolves</x:v>
      </x:c>
      <x:c r="E36" s="93" t="str">
        <x:v>401071585</x:v>
      </x:c>
      <x:c r="F36" s="95" t="str">
        <x:v>ANDERSON_AVAILABLE</x:v>
      </x:c>
      <x:c r="G36" s="95" t="str">
        <x:v>Justin Anderson</x:v>
      </x:c>
      <x:c r="H36" s="95" t="str">
        <x:v>DNP-CD</x:v>
      </x:c>
      <x:c r="I36" s="96" t="n">
        <x:v>0</x:v>
      </x:c>
      <x:c r="J36" s="96" t="n">
        <x:v>31</x:v>
      </x:c>
      <x:c r="K36" s="97" t="n">
        <x:f>J36-I36</x:f>
        <x:v>31</x:v>
      </x:c>
      <x:c r="L36" s="97" t="n">
        <x:v>3.4</x:v>
      </x:c>
      <x:c r="M36" s="97" t="n">
        <x:f>I36+L36</x:f>
        <x:v>3.4</x:v>
      </x:c>
      <x:c r="N36" s="97" t="n">
        <x:f>SUMIF($C$7:$C$37,C36,$L$7:$L$37)</x:f>
        <x:v>3.4</x:v>
      </x:c>
      <x:c r="O36" s="97" t="n">
        <x:f>SUMIF('Game Ledger'!$B$6:$B$87,C36,'Game Ledger'!$T$6:$T$87)</x:f>
        <x:v>3.4</x:v>
      </x:c>
      <x:c r="P36" s="97" t="n">
        <x:f>O36-N36</x:f>
        <x:v>0</x:v>
      </x:c>
      <x:c r="Q36" s="93" t="str">
        <x:v>S44/S45</x:v>
      </x:c>
      <x:c r="R36" s="93" t="str">
        <x:v>https://www.espn.com/nba/boxscore/_/gameId/401071585</x:v>
      </x:c>
    </x:row>
    <x:row r="37">
      <x:c r="A37" s="93" t="n">
        <x:v>31</x:v>
      </x:c>
      <x:c r="B37" s="93" t="n">
        <x:v>63</x:v>
      </x:c>
      <x:c r="C37" s="94" t="n">
        <x:v>43525.5</x:v>
      </x:c>
      <x:c r="D37" s="93" t="str">
        <x:v>Chicago Bulls</x:v>
      </x:c>
      <x:c r="E37" s="93" t="str">
        <x:v>401071601</x:v>
      </x:c>
      <x:c r="F37" s="95" t="str">
        <x:v>ANDERSON_AVAILABLE</x:v>
      </x:c>
      <x:c r="G37" s="95" t="str">
        <x:v>Justin Anderson</x:v>
      </x:c>
      <x:c r="H37" s="95" t="str">
        <x:v>PLAY</x:v>
      </x:c>
      <x:c r="I37" s="96" t="n">
        <x:v>5</x:v>
      </x:c>
      <x:c r="J37" s="96" t="n">
        <x:v>31</x:v>
      </x:c>
      <x:c r="K37" s="97" t="n">
        <x:f>J37-I37</x:f>
        <x:v>26</x:v>
      </x:c>
      <x:c r="L37" s="97" t="n">
        <x:v>2.9</x:v>
      </x:c>
      <x:c r="M37" s="97" t="n">
        <x:f>I37+L37</x:f>
        <x:v>7.9</x:v>
      </x:c>
      <x:c r="N37" s="97" t="n">
        <x:f>SUMIF($C$7:$C$37,C37,$L$7:$L$37)</x:f>
        <x:v>2.9</x:v>
      </x:c>
      <x:c r="O37" s="97" t="n">
        <x:f>SUMIF('Game Ledger'!$B$6:$B$87,C37,'Game Ledger'!$T$6:$T$87)</x:f>
        <x:v>2.9</x:v>
      </x:c>
      <x:c r="P37" s="97" t="n">
        <x:f>O37-N37</x:f>
        <x:v>0</x:v>
      </x:c>
      <x:c r="Q37" s="93" t="str">
        <x:v>S44/S45</x:v>
      </x:c>
      <x:c r="R37" s="93" t="str">
        <x:v>https://www.espn.com/nba/boxscore/_/gameId/401071601</x:v>
      </x:c>
    </x:row>
    <x:row r="38">
      <x:c r="A38" s="92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</x:row>
    <x:row r="39">
      <x:c r="A39" s="92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</x:row>
    <x:row r="40">
      <x:c r="A40" s="89" t="str">
        <x:v>SEASON RECEIVER SUMMARY — cap = actual 2018-19 observed single-game high; added GP counts DNP-CD dates converted to appearances</x:v>
      </x:c>
      <x:c r="B40" s="89"/>
      <x:c r="C40" s="89"/>
      <x:c r="D40" s="89"/>
      <x:c r="E40" s="89"/>
      <x:c r="F40" s="89"/>
      <x:c r="G40" s="89"/>
      <x:c r="H40" s="89"/>
      <x:c r="I40" s="89"/>
      <x:c r="J40" s="89"/>
      <x:c r="K40" s="92"/>
      <x:c r="L40" s="92"/>
      <x:c r="M40" s="92"/>
      <x:c r="N40" s="92"/>
      <x:c r="O40" s="92"/>
      <x:c r="P40" s="92"/>
      <x:c r="Q40" s="92"/>
      <x:c r="R40" s="92"/>
    </x:row>
    <x:row r="41">
      <x:c r="A41" s="92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</x:row>
    <x:row r="42">
      <x:c r="A42" s="53" t="str">
        <x:v>Receiver</x:v>
      </x:c>
      <x:c r="B42" s="53" t="str">
        <x:v>Pos</x:v>
      </x:c>
      <x:c r="C42" s="53" t="str">
        <x:v>Actual GP</x:v>
      </x:c>
      <x:c r="D42" s="53" t="str">
        <x:v>Actual MIN</x:v>
      </x:c>
      <x:c r="E42" s="53" t="str">
        <x:v>Observed max</x:v>
      </x:c>
      <x:c r="F42" s="53" t="str">
        <x:v>Allocated</x:v>
      </x:c>
      <x:c r="G42" s="53" t="str">
        <x:v>Added GP</x:v>
      </x:c>
      <x:c r="H42" s="53" t="str">
        <x:v>CF GP</x:v>
      </x:c>
      <x:c r="I42" s="53" t="str">
        <x:v>CF MIN</x:v>
      </x:c>
      <x:c r="J42" s="53" t="str">
        <x:v>Source ID</x:v>
      </x:c>
      <x:c r="K42" s="92"/>
      <x:c r="L42" s="92"/>
      <x:c r="M42" s="92"/>
      <x:c r="N42" s="92"/>
      <x:c r="O42" s="92"/>
      <x:c r="P42" s="92"/>
      <x:c r="Q42" s="92"/>
      <x:c r="R42" s="92"/>
    </x:row>
    <x:row r="43">
      <x:c r="A43" s="93" t="str">
        <x:v>Justin Anderson</x:v>
      </x:c>
      <x:c r="B43" s="93" t="str">
        <x:v>SF</x:v>
      </x:c>
      <x:c r="C43" s="93" t="n">
        <x:v>48</x:v>
      </x:c>
      <x:c r="D43" s="96" t="n">
        <x:v>463</x:v>
      </x:c>
      <x:c r="E43" s="96" t="n">
        <x:v>31</x:v>
      </x:c>
      <x:c r="F43" s="97" t="n">
        <x:f>SUMIF($G$7:$G$37,A43,$L$7:$L$37)</x:f>
        <x:v>105.60000000000001</x:v>
      </x:c>
      <x:c r="G43" s="97" t="n">
        <x:v>5</x:v>
      </x:c>
      <x:c r="H43" s="97" t="n">
        <x:f>C43+G43</x:f>
        <x:v>53</x:v>
      </x:c>
      <x:c r="I43" s="97" t="n">
        <x:f>D43+F43</x:f>
        <x:v>568.6</x:v>
      </x:c>
      <x:c r="J43" s="93" t="str">
        <x:v>S04/S44/S45</x:v>
      </x:c>
      <x:c r="K43" s="92"/>
      <x:c r="L43" s="92"/>
      <x:c r="M43" s="92"/>
      <x:c r="N43" s="92"/>
      <x:c r="O43" s="92"/>
      <x:c r="P43" s="92"/>
      <x:c r="Q43" s="92"/>
      <x:c r="R43" s="92"/>
    </x:row>
    <x:row r="44">
      <x:c r="A44" s="93" t="str">
        <x:v>Alex Poythress</x:v>
      </x:c>
      <x:c r="B44" s="93" t="str">
        <x:v>F</x:v>
      </x:c>
      <x:c r="C44" s="93" t="n">
        <x:v>21</x:v>
      </x:c>
      <x:c r="D44" s="96" t="n">
        <x:v>305</x:v>
      </x:c>
      <x:c r="E44" s="96" t="n">
        <x:v>26</x:v>
      </x:c>
      <x:c r="F44" s="97" t="n">
        <x:f>SUMIF($G$7:$G$37,A44,$L$7:$L$37)</x:f>
        <x:v>48.6</x:v>
      </x:c>
      <x:c r="G44" s="97" t="n">
        <x:v>0</x:v>
      </x:c>
      <x:c r="H44" s="97" t="n">
        <x:f>C44+G44</x:f>
        <x:v>21</x:v>
      </x:c>
      <x:c r="I44" s="97" t="n">
        <x:f>D44+F44</x:f>
        <x:v>353.6</x:v>
      </x:c>
      <x:c r="J44" s="93" t="str">
        <x:v>S04/S44/S46</x:v>
      </x:c>
      <x:c r="K44" s="92"/>
      <x:c r="L44" s="92"/>
      <x:c r="M44" s="92"/>
      <x:c r="N44" s="92"/>
      <x:c r="O44" s="92"/>
      <x:c r="P44" s="92"/>
      <x:c r="Q44" s="92"/>
      <x:c r="R44" s="92"/>
    </x:row>
    <x:row r="45">
      <x:c r="A45" s="93" t="str">
        <x:v>Daniel Hamilton</x:v>
      </x:c>
      <x:c r="B45" s="93" t="str">
        <x:v>G-F</x:v>
      </x:c>
      <x:c r="C45" s="93" t="n">
        <x:v>19</x:v>
      </x:c>
      <x:c r="D45" s="96" t="n">
        <x:v>204</x:v>
      </x:c>
      <x:c r="E45" s="96" t="n">
        <x:v>23</x:v>
      </x:c>
      <x:c r="F45" s="97" t="n">
        <x:f>SUMIF($G$7:$G$37,A45,$L$7:$L$37)</x:f>
        <x:v>11.399999999999999</x:v>
      </x:c>
      <x:c r="G45" s="97" t="n">
        <x:v>0</x:v>
      </x:c>
      <x:c r="H45" s="97" t="n">
        <x:f>C45+G45</x:f>
        <x:v>19</x:v>
      </x:c>
      <x:c r="I45" s="97" t="n">
        <x:f>D45+F45</x:f>
        <x:v>215.4</x:v>
      </x:c>
      <x:c r="J45" s="93" t="str">
        <x:v>S04/S44</x:v>
      </x:c>
      <x:c r="K45" s="92"/>
      <x:c r="L45" s="92"/>
      <x:c r="M45" s="92"/>
      <x:c r="N45" s="92"/>
      <x:c r="O45" s="92"/>
      <x:c r="P45" s="92"/>
      <x:c r="Q45" s="92"/>
      <x:c r="R45" s="92"/>
    </x:row>
    <x:row r="46">
      <x:c r="A46" s="93" t="str">
        <x:v>Miles Plumlee</x:v>
      </x:c>
      <x:c r="B46" s="93" t="str">
        <x:v>F-C</x:v>
      </x:c>
      <x:c r="C46" s="93" t="n">
        <x:v>18</x:v>
      </x:c>
      <x:c r="D46" s="96" t="n">
        <x:v>173</x:v>
      </x:c>
      <x:c r="E46" s="96" t="n">
        <x:v>19</x:v>
      </x:c>
      <x:c r="F46" s="97" t="n">
        <x:f>SUMIF($G$7:$G$37,A46,$L$7:$L$37)</x:f>
        <x:v>17.5</x:v>
      </x:c>
      <x:c r="G46" s="97" t="n">
        <x:v>1</x:v>
      </x:c>
      <x:c r="H46" s="97" t="n">
        <x:f>C46+G46</x:f>
        <x:v>19</x:v>
      </x:c>
      <x:c r="I46" s="97" t="n">
        <x:f>D46+F46</x:f>
        <x:v>190.5</x:v>
      </x:c>
      <x:c r="J46" s="93" t="str">
        <x:v>S04/S44</x:v>
      </x:c>
      <x:c r="K46" s="92"/>
      <x:c r="L46" s="92"/>
      <x:c r="M46" s="92"/>
      <x:c r="N46" s="92"/>
      <x:c r="O46" s="92"/>
      <x:c r="P46" s="92"/>
      <x:c r="Q46" s="92"/>
      <x:c r="R46" s="92"/>
    </x:row>
    <x:row r="47">
      <x:c r="A47" s="93" t="str">
        <x:v>B.J. Johnson</x:v>
      </x:c>
      <x:c r="B47" s="93" t="str">
        <x:v>SF</x:v>
      </x:c>
      <x:c r="C47" s="93" t="n">
        <x:v>6</x:v>
      </x:c>
      <x:c r="D47" s="96" t="n">
        <x:v>43</x:v>
      </x:c>
      <x:c r="E47" s="96" t="n">
        <x:v>19</x:v>
      </x:c>
      <x:c r="F47" s="97" t="n">
        <x:f>SUMIF($G$7:$G$37,A47,$L$7:$L$37)</x:f>
        <x:v>0</x:v>
      </x:c>
      <x:c r="G47" s="97" t="n">
        <x:v>0</x:v>
      </x:c>
      <x:c r="H47" s="97" t="n">
        <x:f>C47+G47</x:f>
        <x:v>6</x:v>
      </x:c>
      <x:c r="I47" s="97" t="n">
        <x:f>D47+F47</x:f>
        <x:v>43</x:v>
      </x:c>
      <x:c r="J47" s="93" t="str">
        <x:v>S04/S44</x:v>
      </x:c>
      <x:c r="K47" s="92"/>
      <x:c r="L47" s="92"/>
      <x:c r="M47" s="92"/>
      <x:c r="N47" s="92"/>
      <x:c r="O47" s="92"/>
      <x:c r="P47" s="92"/>
      <x:c r="Q47" s="92"/>
      <x:c r="R47" s="92"/>
    </x:row>
    <x:row r="48">
      <x:c r="A48" s="92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</x:row>
    <x:row r="49" ht="32" customHeight="1">
      <x:c r="A49" s="89" t="str">
        <x:v>TOTAL</x:v>
      </x:c>
      <x:c r="B49" s="89"/>
      <x:c r="C49" s="89"/>
      <x:c r="D49" s="89"/>
      <x:c r="E49" s="89"/>
      <x:c r="F49" s="90" t="n">
        <x:f>SUM(F43:F47)</x:f>
        <x:v>183.10000000000002</x:v>
      </x:c>
      <x:c r="G49" s="90"/>
      <x:c r="H49" s="90"/>
      <x:c r="I49" s="90" t="n">
        <x:f>SUM(I43:I47)</x:f>
        <x:v>1371.1000000000001</x:v>
      </x:c>
      <x:c r="J49" s="89" t="str">
        <x:v>B.J. Johnson audited at zero: his only overlapping residual date (Mar. 1) already has Anderson available.</x:v>
      </x:c>
      <x:c r="K49" s="98"/>
      <x:c r="L49" s="98"/>
      <x:c r="M49" s="98"/>
      <x:c r="N49" s="98"/>
      <x:c r="O49" s="98"/>
      <x:c r="P49" s="98"/>
      <x:c r="Q49" s="98"/>
      <x:c r="R49" s="98"/>
    </x:row>
  </x:sheetData>
  <x:mergeCells>
    <x:mergeCell ref="A1:R2"/>
    <x:mergeCell ref="A40:J40"/>
    <x:mergeCell ref="J49:R49"/>
  </x:mergeCells>
  <x:pageMargins left="0.7" right="0.7" top="0.75" bottom="0.75" header="0.3" footer="0.3"/>
  <x:tableParts count="2">
    <x:tablePart xmlns:r="http://schemas.openxmlformats.org/officeDocument/2006/relationships" r:id="R167b59003ab74d1f"/>
    <x:tablePart xmlns:r="http://schemas.openxmlformats.org/officeDocument/2006/relationships" r:id="R6ad73743a8524f4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3" hidden="0" customWidth="1"/>
    <x:col min="4" max="4" width="2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46" hidden="0" customWidth="1"/>
    <x:col min="22" max="22" width="18" hidden="0" customWidth="1"/>
  </x:cols>
  <x:sheetData>
    <x:row r="1" ht="32" customHeight="1">
      <x:c r="A1" s="3" t="str">
        <x:v>ATLANTA 2018-19 — PLAYER PRODUCTION / IMPACT METHOD &amp; CALIBRATION HOLD</x:v>
      </x:c>
    </x:row>
    <x:row r="4">
      <x:c r="A4" s="89" t="str">
        <x:v>Status</x:v>
      </x:c>
      <x:c r="B4" s="89" t="str">
        <x:v>PRIOR_METHOD_HOLD</x:v>
      </x:c>
      <x:c r="C4" s="89"/>
      <x:c r="D4" s="89" t="str">
        <x:v>Canon</x:v>
      </x:c>
      <x:c r="E4" s="89" t="str">
        <x:v>v0.25 PARTIAL</x:v>
      </x:c>
      <x:c r="F4" s="89"/>
      <x:c r="G4" s="89" t="str">
        <x:v>Outcome</x:v>
      </x:c>
      <x:c r="H4" s="89" t="str">
        <x:v>INPUTS_HOLD</x:v>
      </x:c>
      <x:c r="I4" s="89"/>
      <x:c r="J4" s="89" t="str">
        <x:v>Data cutoff</x:v>
      </x:c>
      <x:c r="K4" s="89" t="str">
        <x:v>2026-09-02</x:v>
      </x:c>
      <x:c r="L4" s="89"/>
      <x:c r="M4" s="89" t="str">
        <x:v>Authority</x:v>
      </x:c>
      <x:c r="N4" s="89" t="str">
        <x:v>ATLANTA_2018_19_PLAYER_PRODUCTION_PRIORS.md</x:v>
      </x:c>
      <x:c r="O4" s="89"/>
      <x:c r="P4" s="89"/>
      <x:c r="Q4" s="89"/>
      <x:c r="R4" s="89"/>
      <x:c r="S4" s="89"/>
      <x:c r="T4" s="89"/>
      <x:c r="U4" s="89"/>
      <x:c r="V4" s="89"/>
    </x:row>
    <x:row r="5">
      <x:c r="A5" s="92"/>
      <x:c r="B5" s="92"/>
      <x:c r="C5" s="92"/>
      <x:c r="D5" s="92"/>
      <x:c r="E5" s="92"/>
      <x:c r="F5" s="92"/>
      <x:c r="G5" s="92"/>
      <x:c r="H5" s="92"/>
      <x:c r="I5" s="92"/>
      <x:c r="J5" s="92"/>
      <x:c r="K5" s="92"/>
      <x:c r="L5" s="92"/>
      <x:c r="M5" s="92"/>
      <x:c r="N5" s="92"/>
      <x:c r="O5" s="92"/>
      <x:c r="P5" s="92"/>
      <x:c r="Q5" s="92"/>
      <x:c r="R5" s="92"/>
      <x:c r="S5" s="92"/>
      <x:c r="T5" s="92"/>
      <x:c r="U5" s="92"/>
      <x:c r="V5" s="92"/>
    </x:row>
    <x:row r="6">
      <x:c r="A6" s="53" t="str">
        <x:v>Impact shrinkage candidate (CALIBRATION HOLD)</x:v>
      </x:c>
      <x:c r="B6" s="53" t="str">
        <x:v>Value</x:v>
      </x:c>
      <x:c r="C6" s="92"/>
      <x:c r="D6" s="53" t="str">
        <x:v>Outcome / fatigue candidate</x:v>
      </x:c>
      <x:c r="E6" s="53" t="str">
        <x:v>Value</x:v>
      </x:c>
      <x:c r="F6" s="53" t="str">
        <x:v>Secondary</x:v>
      </x:c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</x:row>
    <x:row r="7">
      <x:c r="A7" s="93" t="str">
        <x:v>Common impact mean</x:v>
      </x:c>
      <x:c r="B7" s="114" t="n">
        <x:v>-2.75</x:v>
      </x:c>
      <x:c r="C7" s="92"/>
      <x:c r="D7" s="93" t="str">
        <x:v>Logit k</x:v>
      </x:c>
      <x:c r="E7" s="115" t="str">
        <x:v>HOLD</x:v>
      </x:c>
      <x:c r="F7" s="115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</x:row>
    <x:row r="8">
      <x:c r="A8" s="93" t="str">
        <x:v>Shrink pseudo-minutes</x:v>
      </x:c>
      <x:c r="B8" s="114" t="n">
        <x:v>750</x:v>
      </x:c>
      <x:c r="C8" s="92"/>
      <x:c r="D8" s="93" t="str">
        <x:v>Interaction</x:v>
      </x:c>
      <x:c r="E8" s="115" t="n">
        <x:v>0</x:v>
      </x:c>
      <x:c r="F8" s="115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</x:row>
    <x:row r="9">
      <x:c r="A9" s="93" t="str">
        <x:v>Band base</x:v>
      </x:c>
      <x:c r="B9" s="114" t="n">
        <x:v>0.75</x:v>
      </x:c>
      <x:c r="C9" s="92"/>
      <x:c r="D9" s="93" t="str">
        <x:v>G League load weight</x:v>
      </x:c>
      <x:c r="E9" s="115" t="n">
        <x:v>0.85</x:v>
      </x:c>
      <x:c r="F9" s="115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</x:row>
    <x:row r="10">
      <x:c r="A10" s="93" t="str">
        <x:v>Band numerator</x:v>
      </x:c>
      <x:c r="B10" s="114" t="n">
        <x:v>500</x:v>
      </x:c>
      <x:c r="C10" s="92"/>
      <x:c r="D10" s="93" t="str">
        <x:v>Fatigue floor</x:v>
      </x:c>
      <x:c r="E10" s="115" t="n">
        <x:v>-0.5</x:v>
      </x:c>
      <x:c r="F10" s="115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</x:row>
    <x:row r="11">
      <x:c r="A11" s="93" t="str">
        <x:v>Impact floor</x:v>
      </x:c>
      <x:c r="B11" s="114" t="n">
        <x:v>-6</x:v>
      </x:c>
      <x:c r="C11" s="92"/>
      <x:c r="D11" s="93" t="str">
        <x:v>M24 coefficient</x:v>
      </x:c>
      <x:c r="E11" s="115" t="n">
        <x:v>0.0125</x:v>
      </x:c>
      <x:c r="F11" s="115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</x:row>
    <x:row r="12">
      <x:c r="A12" s="93" t="str">
        <x:v>Impact ceiling</x:v>
      </x:c>
      <x:c r="B12" s="114" t="n">
        <x:v>2</x:v>
      </x:c>
      <x:c r="C12" s="92"/>
      <x:c r="D12" s="93" t="str">
        <x:v>M72 threshold / coefficient</x:v>
      </x:c>
      <x:c r="E12" s="115" t="n">
        <x:v>45</x:v>
      </x:c>
      <x:c r="F12" s="115" t="n">
        <x:v>0.005</x:v>
      </x:c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</x:row>
    <x:row r="13">
      <x:c r="A13" s="93" t="str">
        <x:v>Protagonist band</x:v>
      </x:c>
      <x:c r="B13" s="114" t="n">
        <x:v>1.5</x:v>
      </x:c>
      <x:c r="C13" s="92"/>
      <x:c r="D13" s="93" t="str">
        <x:v>M7 threshold / coefficient</x:v>
      </x:c>
      <x:c r="E13" s="115" t="n">
        <x:v>120</x:v>
      </x:c>
      <x:c r="F13" s="115" t="n">
        <x:v>0.0025</x:v>
      </x:c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</x:row>
    <x:row r="14">
      <x:c r="A14" s="92"/>
      <x:c r="B14" s="92"/>
      <x:c r="C14" s="92"/>
      <x:c r="D14" s="89" t="str">
        <x:v>Seed</x:v>
      </x:c>
      <x:c r="E14" s="89" t="str">
        <x:v>FIRST_REBOUND|R09|ATL_2018_19|PRIOR_v1</x:v>
      </x:c>
      <x:c r="F14" s="89"/>
      <x:c r="G14" s="89"/>
      <x:c r="H14" s="89"/>
      <x:c r="I14" s="89"/>
      <x:c r="J14" s="89"/>
      <x:c r="K14" s="89"/>
      <x:c r="L14" s="89"/>
      <x:c r="M14" s="89"/>
      <x:c r="N14" s="89"/>
      <x:c r="O14" s="89"/>
      <x:c r="P14" s="89"/>
      <x:c r="Q14" s="89"/>
      <x:c r="R14" s="89"/>
      <x:c r="S14" s="89"/>
      <x:c r="T14" s="89"/>
      <x:c r="U14" s="89"/>
      <x:c r="V14" s="89"/>
    </x:row>
    <x:row r="15">
      <x:c r="A15" s="92"/>
      <x:c r="B15" s="92"/>
      <x:c r="C15" s="92"/>
      <x:c r="D15" s="89" t="str">
        <x:v>SHA-256</x:v>
      </x:c>
      <x:c r="E15" s="89" t="str">
        <x:v>228aac4642a599e4545ed878efda7952bf04bf1b0ad73b20b217d44f5aa19cab</x:v>
      </x:c>
      <x:c r="F15" s="89"/>
      <x:c r="G15" s="89"/>
      <x:c r="H15" s="89"/>
      <x:c r="I15" s="89"/>
      <x:c r="J15" s="89"/>
      <x:c r="K15" s="89"/>
      <x:c r="L15" s="89"/>
      <x:c r="M15" s="89"/>
      <x:c r="N15" s="89"/>
      <x:c r="O15" s="89"/>
      <x:c r="P15" s="89"/>
      <x:c r="Q15" s="89"/>
      <x:c r="R15" s="89"/>
      <x:c r="S15" s="89"/>
      <x:c r="T15" s="89"/>
      <x:c r="U15" s="89"/>
      <x:c r="V15" s="89"/>
    </x:row>
    <x:row r="16">
      <x:c r="A16" s="92"/>
      <x:c r="B16" s="92"/>
      <x:c r="C16" s="92"/>
      <x:c r="D16" s="89" t="str">
        <x:v>Hash / execution</x:v>
      </x:c>
      <x:c r="E16" s="89" t="str">
        <x:v>event_id=ATL_2018_19_G001..G082; h=(BE64(SHA256(seed|event_id))&gt;&gt;11)/2^53; HOLD — calibration, pB, and workload absent</x:v>
      </x:c>
      <x:c r="F16" s="89"/>
      <x:c r="G16" s="89"/>
      <x:c r="H16" s="89"/>
      <x:c r="I16" s="89"/>
      <x:c r="J16" s="89"/>
      <x:c r="K16" s="89"/>
      <x:c r="L16" s="89"/>
      <x:c r="M16" s="89"/>
      <x:c r="N16" s="89"/>
      <x:c r="O16" s="89"/>
      <x:c r="P16" s="89"/>
      <x:c r="Q16" s="89"/>
      <x:c r="R16" s="89"/>
      <x:c r="S16" s="89"/>
      <x:c r="T16" s="89"/>
      <x:c r="U16" s="89"/>
      <x:c r="V16" s="89"/>
    </x:row>
    <x:row r="17">
      <x:c r="A17" s="92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</x:row>
    <x:row r="18">
      <x:c r="A18" s="53" t="str">
        <x:v>Player</x:v>
      </x:c>
      <x:c r="B18" s="53" t="str">
        <x:v>Role</x:v>
      </x:c>
      <x:c r="C18" s="53" t="str">
        <x:v>Observed MIN</x:v>
      </x:c>
      <x:c r="D18" s="53" t="str">
        <x:v>Observed BPM</x:v>
      </x:c>
      <x:c r="E18" s="53" t="str">
        <x:v>Candidate mean</x:v>
      </x:c>
      <x:c r="F18" s="53" t="str">
        <x:v>Weight</x:v>
      </x:c>
      <x:c r="G18" s="53" t="str">
        <x:v>Candidate BASE</x:v>
      </x:c>
      <x:c r="H18" s="53" t="str">
        <x:v>Band</x:v>
      </x:c>
      <x:c r="I18" s="53" t="str">
        <x:v>Candidate LOW</x:v>
      </x:c>
      <x:c r="J18" s="53" t="str">
        <x:v>Candidate HIGH</x:v>
      </x:c>
      <x:c r="K18" s="53" t="str">
        <x:v>Observed PTS/36</x:v>
      </x:c>
      <x:c r="L18" s="53" t="str">
        <x:v>Observed TRB/36</x:v>
      </x:c>
      <x:c r="M18" s="53" t="str">
        <x:v>Observed AST/36</x:v>
      </x:c>
      <x:c r="N18" s="53" t="str">
        <x:v>Observed STL/36</x:v>
      </x:c>
      <x:c r="O18" s="53" t="str">
        <x:v>Observed BLK/36</x:v>
      </x:c>
      <x:c r="P18" s="53" t="str">
        <x:v>Observed TOV/36</x:v>
      </x:c>
      <x:c r="Q18" s="53" t="str">
        <x:v>Observed PF/36</x:v>
      </x:c>
      <x:c r="R18" s="53" t="str">
        <x:v>Observed TS%</x:v>
      </x:c>
      <x:c r="S18" s="53" t="str">
        <x:v>Observed 3PA/36</x:v>
      </x:c>
      <x:c r="T18" s="53" t="str">
        <x:v>Observed 3P%</x:v>
      </x:c>
      <x:c r="U18" s="53" t="str">
        <x:v>Interpretation</x:v>
      </x:c>
      <x:c r="V18" s="53" t="str">
        <x:v>Source ID</x:v>
      </x:c>
    </x:row>
    <x:row r="19">
      <x:c r="A19" s="93" t="str">
        <x:v>Fictional protagonist</x:v>
      </x:c>
      <x:c r="B19" s="93" t="str">
        <x:v>Rookie SF/PF</x:v>
      </x:c>
      <x:c r="C19" s="116" t="n">
        <x:v>0</x:v>
      </x:c>
      <x:c r="D19" s="116"/>
      <x:c r="E19" s="117" t="n">
        <x:f>$B$7</x:f>
        <x:v>-2.75</x:v>
      </x:c>
      <x:c r="F19" s="117" t="n">
        <x:f>IF(D19="",0,C19/(C19+$B$8))</x:f>
        <x:v>0</x:v>
      </x:c>
      <x:c r="G19" s="117" t="n">
        <x:f>IF(D19="",E19,F19*D19+(1-F19)*E19)</x:f>
        <x:v>-2.75</x:v>
      </x:c>
      <x:c r="H19" s="117" t="n">
        <x:f>IF(D19="",$B$13,$B$9+$B$10/(C19+$B$10))</x:f>
        <x:v>1.5</x:v>
      </x:c>
      <x:c r="I19" s="117" t="n">
        <x:f>MAX($B$11,G19-H19)</x:f>
        <x:v>-4.25</x:v>
      </x:c>
      <x:c r="J19" s="117" t="n">
        <x:f>MIN($B$12,G19+H19)</x:f>
        <x:v>-1.25</x:v>
      </x:c>
      <x:c r="K19" s="116" t="n">
        <x:v>10</x:v>
      </x:c>
      <x:c r="L19" s="116" t="n">
        <x:v>7.5</x:v>
      </x:c>
      <x:c r="M19" s="116" t="n">
        <x:v>1.8</x:v>
      </x:c>
      <x:c r="N19" s="116" t="n">
        <x:v>1.3</x:v>
      </x:c>
      <x:c r="O19" s="116" t="n">
        <x:v>0.9</x:v>
      </x:c>
      <x:c r="P19" s="116" t="n">
        <x:v>1.6</x:v>
      </x:c>
      <x:c r="Q19" s="116" t="n">
        <x:v>3.6</x:v>
      </x:c>
      <x:c r="R19" s="118" t="n">
        <x:v>0.5</x:v>
      </x:c>
      <x:c r="S19" s="96" t="n">
        <x:v>2.5</x:v>
      </x:c>
      <x:c r="T19" s="118" t="n">
        <x:v>0.28</x:v>
      </x:c>
      <x:c r="U19" s="93" t="str">
        <x:v>2018 rookie forward cohort + role adjustment</x:v>
      </x:c>
      <x:c r="V19" s="93" t="str">
        <x:v>S48/S49</x:v>
      </x:c>
    </x:row>
    <x:row r="20">
      <x:c r="A20" s="93" t="str">
        <x:v>Omari Spellman</x:v>
      </x:c>
      <x:c r="B20" s="93" t="str">
        <x:v>Removed donor</x:v>
      </x:c>
      <x:c r="C20" s="116" t="n">
        <x:v>805</x:v>
      </x:c>
      <x:c r="D20" s="116" t="n">
        <x:v>-1.2</x:v>
      </x:c>
      <x:c r="E20" s="117" t="n">
        <x:f>$B$7</x:f>
        <x:v>-2.75</x:v>
      </x:c>
      <x:c r="F20" s="117" t="n">
        <x:f>IF(D20="",0,C20/(C20+$B$8))</x:f>
        <x:v>0.5176848874598071</x:v>
      </x:c>
      <x:c r="G20" s="117" t="n">
        <x:f>IF(D20="",E20,F20*D20+(1-F20)*E20)</x:f>
        <x:v>-1.9475884244372992</x:v>
      </x:c>
      <x:c r="H20" s="117" t="n">
        <x:f>IF(D20="",$B$13,$B$9+$B$10/(C20+$B$10))</x:f>
        <x:v>1.1331417624521074</x:v>
      </x:c>
      <x:c r="I20" s="117" t="n">
        <x:f>MAX($B$11,G20-H20)</x:f>
        <x:v>-3.0807301868894066</x:v>
      </x:c>
      <x:c r="J20" s="117" t="n">
        <x:f>MIN($B$12,G20+H20)</x:f>
        <x:v>-0.8144466619851918</x:v>
      </x:c>
      <x:c r="K20" s="116" t="n">
        <x:v>12.2</x:v>
      </x:c>
      <x:c r="L20" s="116" t="n">
        <x:v>8.7</x:v>
      </x:c>
      <x:c r="M20" s="116" t="n">
        <x:v>2.1</x:v>
      </x:c>
      <x:c r="N20" s="116" t="n">
        <x:v>1.2</x:v>
      </x:c>
      <x:c r="O20" s="116" t="n">
        <x:v>1.1</x:v>
      </x:c>
      <x:c r="P20" s="116" t="n">
        <x:v>1.4</x:v>
      </x:c>
      <x:c r="Q20" s="116" t="n">
        <x:v>3</x:v>
      </x:c>
      <x:c r="R20" s="118" t="n">
        <x:v>0.516</x:v>
      </x:c>
      <x:c r="S20" s="96" t="n">
        <x:v>5.7</x:v>
      </x:c>
      <x:c r="T20" s="118" t="n">
        <x:v>0.344</x:v>
      </x:c>
      <x:c r="U20" s="93" t="str">
        <x:v>Actual Atlanta donor comparator</x:v>
      </x:c>
      <x:c r="V20" s="93" t="str">
        <x:v>S47/S48/S49</x:v>
      </x:c>
    </x:row>
    <x:row r="21">
      <x:c r="A21" s="93" t="str">
        <x:v>Justin Anderson</x:v>
      </x:c>
      <x:c r="B21" s="93" t="str">
        <x:v>Named receiver</x:v>
      </x:c>
      <x:c r="C21" s="116" t="n">
        <x:v>463</x:v>
      </x:c>
      <x:c r="D21" s="116" t="n">
        <x:v>-2.7</x:v>
      </x:c>
      <x:c r="E21" s="117" t="n">
        <x:f>$B$7</x:f>
        <x:v>-2.75</x:v>
      </x:c>
      <x:c r="F21" s="117" t="n">
        <x:f>IF(D21="",0,C21/(C21+$B$8))</x:f>
        <x:v>0.3816982687551525</x:v>
      </x:c>
      <x:c r="G21" s="117" t="n">
        <x:f>IF(D21="",E21,F21*D21+(1-F21)*E21)</x:f>
        <x:v>-2.7309150865622427</x:v>
      </x:c>
      <x:c r="H21" s="117" t="n">
        <x:f>IF(D21="",$B$13,$B$9+$B$10/(C21+$B$10))</x:f>
        <x:v>1.2692107995846313</x:v>
      </x:c>
      <x:c r="I21" s="117" t="n">
        <x:f>MAX($B$11,G21-H21)</x:f>
        <x:v>-4.000125886146874</x:v>
      </x:c>
      <x:c r="J21" s="117" t="n">
        <x:f>MIN($B$12,G21+H21)</x:f>
        <x:v>-1.4617042869776113</x:v>
      </x:c>
      <x:c r="K21" s="116" t="n">
        <x:v>13.8</x:v>
      </x:c>
      <x:c r="L21" s="116" t="n">
        <x:v>6.5</x:v>
      </x:c>
      <x:c r="M21" s="116" t="n">
        <x:v>1.8</x:v>
      </x:c>
      <x:c r="N21" s="116" t="n">
        <x:v>1.7</x:v>
      </x:c>
      <x:c r="O21" s="116" t="n">
        <x:v>1</x:v>
      </x:c>
      <x:c r="P21" s="116" t="n">
        <x:v>1.8</x:v>
      </x:c>
      <x:c r="Q21" s="116" t="n">
        <x:v>3.7</x:v>
      </x:c>
      <x:c r="R21" s="118" t="n">
        <x:v>0.516</x:v>
      </x:c>
      <x:c r="S21" s="96" t="n">
        <x:v>6</x:v>
      </x:c>
      <x:c r="T21" s="118" t="n">
        <x:v>0.312</x:v>
      </x:c>
      <x:c r="U21" s="93" t="str">
        <x:v>Strong defensive wing; small sample shrunk</x:v>
      </x:c>
      <x:c r="V21" s="93" t="str">
        <x:v>S47/S48/S49/S50</x:v>
      </x:c>
    </x:row>
    <x:row r="22">
      <x:c r="A22" s="93" t="str">
        <x:v>Alex Poythress</x:v>
      </x:c>
      <x:c r="B22" s="93" t="str">
        <x:v>Named receiver</x:v>
      </x:c>
      <x:c r="C22" s="116" t="n">
        <x:v>305</x:v>
      </x:c>
      <x:c r="D22" s="116" t="n">
        <x:v>-3.5</x:v>
      </x:c>
      <x:c r="E22" s="117" t="n">
        <x:f>$B$7</x:f>
        <x:v>-2.75</x:v>
      </x:c>
      <x:c r="F22" s="117" t="n">
        <x:f>IF(D22="",0,C22/(C22+$B$8))</x:f>
        <x:v>0.2890995260663507</x:v>
      </x:c>
      <x:c r="G22" s="117" t="n">
        <x:f>IF(D22="",E22,F22*D22+(1-F22)*E22)</x:f>
        <x:v>-2.966824644549763</x:v>
      </x:c>
      <x:c r="H22" s="117" t="n">
        <x:f>IF(D22="",$B$13,$B$9+$B$10/(C22+$B$10))</x:f>
        <x:v>1.37111801242236</x:v>
      </x:c>
      <x:c r="I22" s="117" t="n">
        <x:f>MAX($B$11,G22-H22)</x:f>
        <x:v>-4.337942656972123</x:v>
      </x:c>
      <x:c r="J22" s="117" t="n">
        <x:f>MIN($B$12,G22+H22)</x:f>
        <x:v>-1.5957066321274027</x:v>
      </x:c>
      <x:c r="K22" s="116" t="n">
        <x:v>12.6</x:v>
      </x:c>
      <x:c r="L22" s="116" t="n">
        <x:v>9</x:v>
      </x:c>
      <x:c r="M22" s="116" t="n">
        <x:v>2</x:v>
      </x:c>
      <x:c r="N22" s="116" t="n">
        <x:v>0.5</x:v>
      </x:c>
      <x:c r="O22" s="116" t="n">
        <x:v>1.2</x:v>
      </x:c>
      <x:c r="P22" s="116" t="n">
        <x:v>1.5</x:v>
      </x:c>
      <x:c r="Q22" s="116" t="n">
        <x:v>5.5</x:v>
      </x:c>
      <x:c r="R22" s="118" t="n">
        <x:v>0.571</x:v>
      </x:c>
      <x:c r="S22" s="96" t="n">
        <x:v>2.7</x:v>
      </x:c>
      <x:c r="T22" s="118" t="n">
        <x:v>0.391</x:v>
      </x:c>
      <x:c r="U22" s="93" t="str">
        <x:v>Energy/rebounding forward; small sample shrunk</x:v>
      </x:c>
      <x:c r="V22" s="93" t="str">
        <x:v>S47/S48/S49/S51</x:v>
      </x:c>
    </x:row>
    <x:row r="23">
      <x:c r="A23" s="93" t="str">
        <x:v>Miles Plumlee</x:v>
      </x:c>
      <x:c r="B23" s="93" t="str">
        <x:v>Named receiver</x:v>
      </x:c>
      <x:c r="C23" s="116" t="n">
        <x:v>173</x:v>
      </x:c>
      <x:c r="D23" s="116" t="n">
        <x:v>1.6</x:v>
      </x:c>
      <x:c r="E23" s="117" t="n">
        <x:f>$B$7</x:f>
        <x:v>-2.75</x:v>
      </x:c>
      <x:c r="F23" s="117" t="n">
        <x:f>IF(D23="",0,C23/(C23+$B$8))</x:f>
        <x:v>0.18743228602383533</x:v>
      </x:c>
      <x:c r="G23" s="117" t="n">
        <x:f>IF(D23="",E23,F23*D23+(1-F23)*E23)</x:f>
        <x:v>-1.9346695557963165</x:v>
      </x:c>
      <x:c r="H23" s="117" t="n">
        <x:f>IF(D23="",$B$13,$B$9+$B$10/(C23+$B$10))</x:f>
        <x:v>1.4929420505200595</x:v>
      </x:c>
      <x:c r="I23" s="117" t="n">
        <x:f>MAX($B$11,G23-H23)</x:f>
        <x:v>-3.427611606316376</x:v>
      </x:c>
      <x:c r="J23" s="117" t="n">
        <x:f>MIN($B$12,G23+H23)</x:f>
        <x:v>-0.44172750527625704</x:v>
      </x:c>
      <x:c r="K23" s="116" t="n">
        <x:v>16.6</x:v>
      </x:c>
      <x:c r="L23" s="116" t="n">
        <x:v>8.1</x:v>
      </x:c>
      <x:c r="M23" s="116" t="n">
        <x:v>3.5</x:v>
      </x:c>
      <x:c r="N23" s="116" t="n">
        <x:v>1.2</x:v>
      </x:c>
      <x:c r="O23" s="116" t="n">
        <x:v>0.8</x:v>
      </x:c>
      <x:c r="P23" s="116" t="n">
        <x:v>2.1</x:v>
      </x:c>
      <x:c r="Q23" s="116" t="n">
        <x:v>2.9</x:v>
      </x:c>
      <x:c r="R23" s="118" t="n">
        <x:v>0.654</x:v>
      </x:c>
      <x:c r="S23" s="96" t="n">
        <x:v>0</x:v>
      </x:c>
      <x:c r="T23" s="118"/>
      <x:c r="U23" s="93" t="str">
        <x:v>Center finishing sample; strongly shrunk</x:v>
      </x:c>
      <x:c r="V23" s="93" t="str">
        <x:v>S47/S48/S49/S52</x:v>
      </x:c>
    </x:row>
    <x:row r="24">
      <x:c r="A24" s="93" t="str">
        <x:v>Daniel Hamilton</x:v>
      </x:c>
      <x:c r="B24" s="93" t="str">
        <x:v>Named receiver</x:v>
      </x:c>
      <x:c r="C24" s="116" t="n">
        <x:v>204</x:v>
      </x:c>
      <x:c r="D24" s="116" t="n">
        <x:v>-4.1</x:v>
      </x:c>
      <x:c r="E24" s="117" t="n">
        <x:f>$B$7</x:f>
        <x:v>-2.75</x:v>
      </x:c>
      <x:c r="F24" s="117" t="n">
        <x:f>IF(D24="",0,C24/(C24+$B$8))</x:f>
        <x:v>0.2138364779874214</x:v>
      </x:c>
      <x:c r="G24" s="117" t="n">
        <x:f>IF(D24="",E24,F24*D24+(1-F24)*E24)</x:f>
        <x:v>-3.038679245283019</x:v>
      </x:c>
      <x:c r="H24" s="117" t="n">
        <x:f>IF(D24="",$B$13,$B$9+$B$10/(C24+$B$10))</x:f>
        <x:v>1.4602272727272727</x:v>
      </x:c>
      <x:c r="I24" s="117" t="n">
        <x:f>MAX($B$11,G24-H24)</x:f>
        <x:v>-4.498906518010291</x:v>
      </x:c>
      <x:c r="J24" s="117" t="n">
        <x:f>MIN($B$12,G24+H24)</x:f>
        <x:v>-1.5784519725557462</x:v>
      </x:c>
      <x:c r="K24" s="116" t="n">
        <x:v>10.1</x:v>
      </x:c>
      <x:c r="L24" s="116" t="n">
        <x:v>8.3</x:v>
      </x:c>
      <x:c r="M24" s="116" t="n">
        <x:v>3.9</x:v>
      </x:c>
      <x:c r="N24" s="116" t="n">
        <x:v>1.1</x:v>
      </x:c>
      <x:c r="O24" s="116" t="n">
        <x:v>0.2</x:v>
      </x:c>
      <x:c r="P24" s="116" t="n">
        <x:v>2.8</x:v>
      </x:c>
      <x:c r="Q24" s="116" t="n">
        <x:v>3.4</x:v>
      </x:c>
      <x:c r="R24" s="118" t="n">
        <x:v>0.455</x:v>
      </x:c>
      <x:c r="S24" s="96" t="n">
        <x:v>4.1</x:v>
      </x:c>
      <x:c r="T24" s="118" t="n">
        <x:v>0.348</x:v>
      </x:c>
      <x:c r="U24" s="93" t="str">
        <x:v>Large guard/wing connector; small sample shrunk</x:v>
      </x:c>
      <x:c r="V24" s="93" t="str">
        <x:v>S47/S48/S49/S53</x:v>
      </x:c>
    </x:row>
    <x:row r="25">
      <x:c r="A25" s="92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</x:row>
    <x:row r="26">
      <x:c r="A26" s="92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</x:row>
    <x:row r="27">
      <x:c r="A27" s="89" t="str">
        <x:v>METHOD SELECTION — numeric option remains provisional until external calibration</x:v>
      </x:c>
      <x:c r="B27" s="89"/>
      <x:c r="C27" s="89"/>
      <x:c r="D27" s="89"/>
      <x:c r="E27" s="89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</x:row>
    <x:row r="28">
      <x:c r="A28" s="92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</x:row>
    <x:row r="29">
      <x:c r="A29" s="53" t="str">
        <x:v>Option</x:v>
      </x:c>
      <x:c r="B29" s="53" t="str">
        <x:v>Method</x:v>
      </x:c>
      <x:c r="C29" s="53" t="str">
        <x:v>Benefit</x:v>
      </x:c>
      <x:c r="D29" s="53" t="str">
        <x:v>Fatal risk</x:v>
      </x:c>
      <x:c r="E29" s="53" t="str">
        <x:v>Decision</x:v>
      </x:c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</x:row>
    <x:row r="30">
      <x:c r="A30" s="93" t="str">
        <x:v>A</x:v>
      </x:c>
      <x:c r="B30" s="93" t="str">
        <x:v>Raw 2018-19 rates/BPM</x:v>
      </x:c>
      <x:c r="C30" s="93" t="str">
        <x:v>Simple and reproducible</x:v>
      </x:c>
      <x:c r="D30" s="93" t="str">
        <x:v>Overfits 173-463 minute samples</x:v>
      </x:c>
      <x:c r="E30" s="95" t="str">
        <x:v>REJECTED</x:v>
      </x:c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</x:row>
    <x:row r="31">
      <x:c r="A31" s="93" t="str">
        <x:v>B</x:v>
      </x:c>
      <x:c r="B31" s="93" t="str">
        <x:v>Pre-2018 evidence only</x:v>
      </x:c>
      <x:c r="C31" s="93" t="str">
        <x:v>Lowest outcome leakage</x:v>
      </x:c>
      <x:c r="D31" s="93" t="str">
        <x:v>Sparse roles create arbitrary ordering</x:v>
      </x:c>
      <x:c r="E31" s="95" t="str">
        <x:v>REJECTED</x:v>
      </x:c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</x:row>
    <x:row r="32">
      <x:c r="A32" s="93" t="str">
        <x:v>C</x:v>
      </x:c>
      <x:c r="B32" s="93" t="str">
        <x:v>Common neutral impact for all</x:v>
      </x:c>
      <x:c r="C32" s="93" t="str">
        <x:v>Minimal author bias</x:v>
      </x:c>
      <x:c r="D32" s="93" t="str">
        <x:v>Erases observed role evidence</x:v>
      </x:c>
      <x:c r="E32" s="95" t="str">
        <x:v>FALLBACK</x:v>
      </x:c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</x:row>
    <x:row r="33">
      <x:c r="A33" s="93" t="str">
        <x:v>D</x:v>
      </x:c>
      <x:c r="B33" s="93" t="str">
        <x:v>Season rates + preregistered shrinkage candidate</x:v>
      </x:c>
      <x:c r="C33" s="93" t="str">
        <x:v>Balances role evidence and small-sample control</x:v>
      </x:c>
      <x:c r="D33" s="93" t="str">
        <x:v>Mean/pseudo-minutes/band not externally calibrated</x:v>
      </x:c>
      <x:c r="E33" s="95" t="str">
        <x:v>PROVISIONAL / HOLD</x:v>
      </x:c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</x:row>
    <x:row r="34">
      <x:c r="A34" s="92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</x:row>
    <x:row r="35">
      <x:c r="A35" s="92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</x:row>
    <x:row r="36">
      <x:c r="A36" s="53" t="str">
        <x:v>Audit</x:v>
      </x:c>
      <x:c r="B36" s="53" t="str">
        <x:v>Value</x:v>
      </x:c>
      <x:c r="C36" s="53" t="str">
        <x:v>Expected</x:v>
      </x:c>
      <x:c r="D36" s="53" t="str">
        <x:v>Check</x:v>
      </x:c>
      <x:c r="E36" s="92"/>
      <x:c r="F36" s="119" t="str">
        <x:v>CALIBRATION HOLD: F(M) candidate = -min(0.50, 0.0125×M24 + 0.005×max(0,M72-45) + 0.0025×max(0,M7-120)); G League candidate weight 0.85; automatic new injury forbidden.</x:v>
      </x:c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</x:row>
    <x:row r="37">
      <x:c r="A37" s="93" t="str">
        <x:v>Candidate ordering</x:v>
      </x:c>
      <x:c r="B37" s="93" t="str">
        <x:f>IF(AND(I19&lt;=G19,G19&lt;=J19,I20&lt;=G20,G20&lt;=J20,I21&lt;=G21,G21&lt;=J21,I22&lt;=G22,G22&lt;=J22,I23&lt;=G23,G23&lt;=J23,I24&lt;=G24,G24&lt;=J24),"ORDERED","FAIL")</x:f>
        <x:v>ORDERED</x:v>
      </x:c>
      <x:c r="C37" s="93" t="str">
        <x:v>ORDERED</x:v>
      </x:c>
      <x:c r="D37" s="120" t="str">
        <x:f>IF(B37=C37,"PASS","FAIL")</x:f>
        <x:v>PASS</x:v>
      </x:c>
      <x:c r="E37" s="92"/>
      <x:c r="F37" s="121" t="str">
        <x:v>OUTCOME FIREWALL: fixed-100-possession rotation delta uses the same 805 minutes. LOW = new LOW - donor HIGH; HIGH = new HIGH - donor LOW. Box values are not added. Exact scores are forbidden; numeric calibration and outcomes remain HOLD.</x:v>
      </x:c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</x:row>
    <x:row r="38">
      <x:c r="A38" s="93" t="str">
        <x:v>Candidate bounds</x:v>
      </x:c>
      <x:c r="B38" s="93" t="str">
        <x:f>IF(AND(MIN(I19:I24)&gt;=$B$11,MAX(J19:J24)&lt;=$B$12),"IN RANGE","FAIL")</x:f>
        <x:v>IN RANGE</x:v>
      </x:c>
      <x:c r="C38" s="93" t="str">
        <x:v>IN RANGE</x:v>
      </x:c>
      <x:c r="D38" s="120" t="str">
        <x:f>IF(B38=C38,"PASS","FAIL")</x:f>
        <x:v>PASS</x:v>
      </x:c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</x:row>
    <x:row r="39">
      <x:c r="A39" s="93" t="str">
        <x:v>Protagonist minutes</x:v>
      </x:c>
      <x:c r="B39" s="116" t="n">
        <x:f>SUM('Game Ledger'!$R$6:$R$87)</x:f>
        <x:v>621.9000000000001</x:v>
      </x:c>
      <x:c r="C39" s="116" t="n">
        <x:v>621.9</x:v>
      </x:c>
      <x:c r="D39" s="120" t="str">
        <x:f>IF(ABS(B39-C39)&lt;0.001,"PASS","FAIL")</x:f>
        <x:v>PASS</x:v>
      </x:c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</x:row>
    <x:row r="40">
      <x:c r="A40" s="93" t="str">
        <x:v>Named receiver minutes</x:v>
      </x:c>
      <x:c r="B40" s="116" t="n">
        <x:f>SUM('ATL Receivers'!$L$7:$L$37)</x:f>
        <x:v>183.10000000000002</x:v>
      </x:c>
      <x:c r="C40" s="116" t="n">
        <x:v>183.1</x:v>
      </x:c>
      <x:c r="D40" s="120" t="str">
        <x:f>IF(ABS(B40-C40)&lt;0.001,"PASS","FAIL")</x:f>
        <x:v>PASS</x:v>
      </x:c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</x:row>
    <x:row r="41">
      <x:c r="A41" s="93" t="str">
        <x:v>Same donor pool</x:v>
      </x:c>
      <x:c r="B41" s="116" t="n">
        <x:f>B39+B40</x:f>
        <x:v>805.0000000000001</x:v>
      </x:c>
      <x:c r="C41" s="116" t="n">
        <x:v>805</x:v>
      </x:c>
      <x:c r="D41" s="120" t="str">
        <x:f>IF(ABS(B41-C41)&lt;0.001,"PASS","FAIL")</x:f>
        <x:v>PASS</x:v>
      </x:c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</x:row>
    <x:row r="42">
      <x:c r="A42" s="93" t="str">
        <x:v>Interaction</x:v>
      </x:c>
      <x:c r="B42" s="116" t="n">
        <x:f>$E$8</x:f>
        <x:v>0</x:v>
      </x:c>
      <x:c r="C42" s="116" t="n">
        <x:v>0</x:v>
      </x:c>
      <x:c r="D42" s="120" t="str">
        <x:f>IF(B42=C42,"PASS","FAIL")</x:f>
        <x:v>PASS</x:v>
      </x:c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</x:row>
    <x:row r="43">
      <x:c r="A43" s="93" t="str">
        <x:v>Calibration status</x:v>
      </x:c>
      <x:c r="B43" s="93" t="str">
        <x:f>"HOLD"</x:f>
        <x:v>HOLD</x:v>
      </x:c>
      <x:c r="C43" s="93" t="str">
        <x:v>HOLD</x:v>
      </x:c>
      <x:c r="D43" s="120" t="str">
        <x:f>IF(B43=C43,"PASS","FAIL")</x:f>
        <x:v>PASS</x:v>
      </x:c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</x:row>
    <x:row r="44">
      <x:c r="A44" s="93" t="str">
        <x:v>Outcome inputs</x:v>
      </x:c>
      <x:c r="B44" s="93" t="str">
        <x:f>"HOLD"</x:f>
        <x:v>HOLD</x:v>
      </x:c>
      <x:c r="C44" s="93" t="str">
        <x:v>HOLD</x:v>
      </x:c>
      <x:c r="D44" s="120" t="str">
        <x:f>IF(B44=C44,"PASS","FAIL")</x:f>
        <x:v>PASS</x:v>
      </x:c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</x:row>
  </x:sheetData>
  <x:mergeCells>
    <x:mergeCell ref="A1:V2"/>
    <x:mergeCell ref="B4:C4"/>
    <x:mergeCell ref="E4:F4"/>
    <x:mergeCell ref="H4:I4"/>
    <x:mergeCell ref="K4:L4"/>
    <x:mergeCell ref="N4:V4"/>
    <x:mergeCell ref="E14:V14"/>
    <x:mergeCell ref="E15:V15"/>
    <x:mergeCell ref="E16:V16"/>
    <x:mergeCell ref="A27:E27"/>
    <x:mergeCell ref="F36:V36"/>
    <x:mergeCell ref="F37:V40"/>
  </x:mergeCells>
  <x:pageMargins left="0.7" right="0.7" top="0.75" bottom="0.75" header="0.3" footer="0.3"/>
  <x:tableParts count="2">
    <x:tablePart xmlns:r="http://schemas.openxmlformats.org/officeDocument/2006/relationships" r:id="R4c47e273da4149b8"/>
    <x:tablePart xmlns:r="http://schemas.openxmlformats.org/officeDocument/2006/relationships" r:id="Rdafd0d5731ff46e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ATLANTA 2018-19 — ROSTER MINUTES &amp; REALLOCATION FIREWALL</x:v>
      </x:c>
    </x:row>
    <x:row r="3">
      <x:c r="A3" s="105" t="str">
        <x:v>Published integer player minutes sum two minutes below game capacity because of source rounding. Allow the two-minute audit delta; never spend it as new minutes.</x:v>
      </x:c>
    </x:row>
    <x:row r="5">
      <x:c r="A5" s="11" t="str">
        <x:v>Player / bridge</x:v>
      </x:c>
      <x:c r="B5" s="11" t="str">
        <x:v>Pos</x:v>
      </x:c>
      <x:c r="C5" s="11" t="str">
        <x:v>Actual GP</x:v>
      </x:c>
      <x:c r="D5" s="11" t="str">
        <x:v>Actual GS</x:v>
      </x:c>
      <x:c r="E5" s="11" t="str">
        <x:v>Actual min</x:v>
      </x:c>
      <x:c r="F5" s="11" t="str">
        <x:v>Actual MPG</x:v>
      </x:c>
      <x:c r="G5" s="11" t="str">
        <x:v>Pool</x:v>
      </x:c>
      <x:c r="H5" s="11" t="str">
        <x:v>Removed actual</x:v>
      </x:c>
      <x:c r="I5" s="11" t="str">
        <x:v>Added CF</x:v>
      </x:c>
      <x:c r="J5" s="11" t="str">
        <x:v>Post-CF min</x:v>
      </x:c>
      <x:c r="K5" s="11" t="str">
        <x:v>Balance</x:v>
      </x:c>
      <x:c r="L5" s="11" t="str">
        <x:v>Source ID</x:v>
      </x:c>
    </x:row>
    <x:row r="6">
      <x:c r="A6" s="40" t="str">
        <x:v>Trae Young</x:v>
      </x:c>
      <x:c r="B6" s="40" t="str">
        <x:v>G</x:v>
      </x:c>
      <x:c r="C6" s="40" t="n">
        <x:v>81</x:v>
      </x:c>
      <x:c r="D6" s="40" t="n">
        <x:v>81</x:v>
      </x:c>
      <x:c r="E6" s="40" t="n">
        <x:v>2503</x:v>
      </x:c>
      <x:c r="F6" s="44" t="n">
        <x:f>IF(C6=0,0,E6/C6)</x:f>
        <x:v>30.901234567901234</x:v>
      </x:c>
      <x:c r="G6" s="40" t="str">
        <x:v>PROTECTED_CORE</x:v>
      </x:c>
      <x:c r="H6" s="50" t="n">
        <x:v>0</x:v>
      </x:c>
      <x:c r="I6" s="50" t="n">
        <x:v>0</x:v>
      </x:c>
      <x:c r="J6" s="51" t="n">
        <x:f>E6-H6+I6</x:f>
        <x:v>2503</x:v>
      </x:c>
      <x:c r="K6" s="51" t="n">
        <x:f>J6-(E6-H6+I6)</x:f>
        <x:v>0</x:v>
      </x:c>
      <x:c r="L6" s="40" t="str">
        <x:v>S04</x:v>
      </x:c>
    </x:row>
    <x:row r="7">
      <x:c r="A7" s="40" t="str">
        <x:v>Kevin Huerter</x:v>
      </x:c>
      <x:c r="B7" s="40" t="str">
        <x:v>G</x:v>
      </x:c>
      <x:c r="C7" s="40" t="n">
        <x:v>75</x:v>
      </x:c>
      <x:c r="D7" s="40" t="n">
        <x:v>59</x:v>
      </x:c>
      <x:c r="E7" s="40" t="n">
        <x:v>2048</x:v>
      </x:c>
      <x:c r="F7" s="44" t="n">
        <x:f>IF(C7=0,0,E7/C7)</x:f>
        <x:v>27.30666666666667</x:v>
      </x:c>
      <x:c r="G7" s="40" t="str">
        <x:v>PROTECTED_CORE</x:v>
      </x:c>
      <x:c r="H7" s="50" t="n">
        <x:v>0</x:v>
      </x:c>
      <x:c r="I7" s="50" t="n">
        <x:v>0</x:v>
      </x:c>
      <x:c r="J7" s="51" t="n">
        <x:f>E7-H7+I7</x:f>
        <x:v>2048</x:v>
      </x:c>
      <x:c r="K7" s="51" t="n">
        <x:f>J7-(E7-H7+I7)</x:f>
        <x:v>0</x:v>
      </x:c>
      <x:c r="L7" s="40" t="str">
        <x:v>S04</x:v>
      </x:c>
    </x:row>
    <x:row r="8">
      <x:c r="A8" s="40" t="str">
        <x:v>DeAndre' Bembry</x:v>
      </x:c>
      <x:c r="B8" s="40" t="str">
        <x:v>SF</x:v>
      </x:c>
      <x:c r="C8" s="40" t="n">
        <x:v>82</x:v>
      </x:c>
      <x:c r="D8" s="40" t="n">
        <x:v>15</x:v>
      </x:c>
      <x:c r="E8" s="40" t="n">
        <x:v>1931</x:v>
      </x:c>
      <x:c r="F8" s="44" t="n">
        <x:f>IF(C8=0,0,E8/C8)</x:f>
        <x:v>23.548780487804876</x:v>
      </x:c>
      <x:c r="G8" s="40" t="str">
        <x:v>PROTECTED_ROLE</x:v>
      </x:c>
      <x:c r="H8" s="50" t="n">
        <x:v>0</x:v>
      </x:c>
      <x:c r="I8" s="50" t="n">
        <x:v>0</x:v>
      </x:c>
      <x:c r="J8" s="51" t="n">
        <x:f>E8-H8+I8</x:f>
        <x:v>1931</x:v>
      </x:c>
      <x:c r="K8" s="51" t="n">
        <x:f>J8-(E8-H8+I8)</x:f>
        <x:v>0</x:v>
      </x:c>
      <x:c r="L8" s="40" t="str">
        <x:v>S04</x:v>
      </x:c>
    </x:row>
    <x:row r="9">
      <x:c r="A9" s="40" t="str">
        <x:v>John Collins</x:v>
      </x:c>
      <x:c r="B9" s="40" t="str">
        <x:v>F</x:v>
      </x:c>
      <x:c r="C9" s="40" t="n">
        <x:v>61</x:v>
      </x:c>
      <x:c r="D9" s="40" t="n">
        <x:v>59</x:v>
      </x:c>
      <x:c r="E9" s="40" t="n">
        <x:v>1829</x:v>
      </x:c>
      <x:c r="F9" s="44" t="n">
        <x:f>IF(C9=0,0,E9/C9)</x:f>
        <x:v>29.983606557377048</x:v>
      </x:c>
      <x:c r="G9" s="40" t="str">
        <x:v>PROTECTED_CORE</x:v>
      </x:c>
      <x:c r="H9" s="50" t="n">
        <x:v>0</x:v>
      </x:c>
      <x:c r="I9" s="50" t="n">
        <x:v>0</x:v>
      </x:c>
      <x:c r="J9" s="51" t="n">
        <x:f>E9-H9+I9</x:f>
        <x:v>1829</x:v>
      </x:c>
      <x:c r="K9" s="51" t="n">
        <x:f>J9-(E9-H9+I9)</x:f>
        <x:v>0</x:v>
      </x:c>
      <x:c r="L9" s="40" t="str">
        <x:v>S04</x:v>
      </x:c>
    </x:row>
    <x:row r="10">
      <x:c r="A10" s="40" t="str">
        <x:v>Kent Bazemore</x:v>
      </x:c>
      <x:c r="B10" s="40" t="str">
        <x:v>G</x:v>
      </x:c>
      <x:c r="C10" s="40" t="n">
        <x:v>67</x:v>
      </x:c>
      <x:c r="D10" s="40" t="n">
        <x:v>35</x:v>
      </x:c>
      <x:c r="E10" s="40" t="n">
        <x:v>1643</x:v>
      </x:c>
      <x:c r="F10" s="44" t="n">
        <x:f>IF(C10=0,0,E10/C10)</x:f>
        <x:v>24.52238805970149</x:v>
      </x:c>
      <x:c r="G10" s="40" t="str">
        <x:v>PROTECTED_ROLE</x:v>
      </x:c>
      <x:c r="H10" s="50" t="n">
        <x:v>0</x:v>
      </x:c>
      <x:c r="I10" s="50" t="n">
        <x:v>0</x:v>
      </x:c>
      <x:c r="J10" s="51" t="n">
        <x:f>E10-H10+I10</x:f>
        <x:v>1643</x:v>
      </x:c>
      <x:c r="K10" s="51" t="n">
        <x:f>J10-(E10-H10+I10)</x:f>
        <x:v>0</x:v>
      </x:c>
      <x:c r="L10" s="40" t="str">
        <x:v>S04</x:v>
      </x:c>
    </x:row>
    <x:row r="11">
      <x:c r="A11" s="40" t="str">
        <x:v>Dewayne Dedmon</x:v>
      </x:c>
      <x:c r="B11" s="40" t="str">
        <x:v>C</x:v>
      </x:c>
      <x:c r="C11" s="40" t="n">
        <x:v>64</x:v>
      </x:c>
      <x:c r="D11" s="40" t="n">
        <x:v>52</x:v>
      </x:c>
      <x:c r="E11" s="40" t="n">
        <x:v>1609</x:v>
      </x:c>
      <x:c r="F11" s="44" t="n">
        <x:f>IF(C11=0,0,E11/C11)</x:f>
        <x:v>25.140625</x:v>
      </x:c>
      <x:c r="G11" s="40" t="str">
        <x:v>CENTER_POOL</x:v>
      </x:c>
      <x:c r="H11" s="50" t="n">
        <x:v>0</x:v>
      </x:c>
      <x:c r="I11" s="50" t="n">
        <x:v>0</x:v>
      </x:c>
      <x:c r="J11" s="51" t="n">
        <x:f>E11-H11+I11</x:f>
        <x:v>1609</x:v>
      </x:c>
      <x:c r="K11" s="51" t="n">
        <x:f>J11-(E11-H11+I11)</x:f>
        <x:v>0</x:v>
      </x:c>
      <x:c r="L11" s="40" t="str">
        <x:v>S04</x:v>
      </x:c>
    </x:row>
    <x:row r="12">
      <x:c r="A12" s="40" t="str">
        <x:v>Taurean Prince</x:v>
      </x:c>
      <x:c r="B12" s="40" t="str">
        <x:v>SF</x:v>
      </x:c>
      <x:c r="C12" s="40" t="n">
        <x:v>55</x:v>
      </x:c>
      <x:c r="D12" s="40" t="n">
        <x:v>47</x:v>
      </x:c>
      <x:c r="E12" s="40" t="n">
        <x:v>1552</x:v>
      </x:c>
      <x:c r="F12" s="44" t="n">
        <x:f>IF(C12=0,0,E12/C12)</x:f>
        <x:v>28.21818181818182</x:v>
      </x:c>
      <x:c r="G12" s="40" t="str">
        <x:v>PROTECTED_ROLE</x:v>
      </x:c>
      <x:c r="H12" s="50" t="n">
        <x:v>0</x:v>
      </x:c>
      <x:c r="I12" s="50" t="n">
        <x:v>0</x:v>
      </x:c>
      <x:c r="J12" s="51" t="n">
        <x:f>E12-H12+I12</x:f>
        <x:v>1552</x:v>
      </x:c>
      <x:c r="K12" s="51" t="n">
        <x:f>J12-(E12-H12+I12)</x:f>
        <x:v>0</x:v>
      </x:c>
      <x:c r="L12" s="40" t="str">
        <x:v>S04</x:v>
      </x:c>
    </x:row>
    <x:row r="13">
      <x:c r="A13" s="40" t="str">
        <x:v>Alex Len</x:v>
      </x:c>
      <x:c r="B13" s="40" t="str">
        <x:v>C</x:v>
      </x:c>
      <x:c r="C13" s="40" t="n">
        <x:v>77</x:v>
      </x:c>
      <x:c r="D13" s="40" t="n">
        <x:v>31</x:v>
      </x:c>
      <x:c r="E13" s="40" t="n">
        <x:v>1544</x:v>
      </x:c>
      <x:c r="F13" s="44" t="n">
        <x:f>IF(C13=0,0,E13/C13)</x:f>
        <x:v>20.051948051948052</x:v>
      </x:c>
      <x:c r="G13" s="40" t="str">
        <x:v>CENTER_POOL</x:v>
      </x:c>
      <x:c r="H13" s="50" t="n">
        <x:v>0</x:v>
      </x:c>
      <x:c r="I13" s="50" t="n">
        <x:v>0</x:v>
      </x:c>
      <x:c r="J13" s="51" t="n">
        <x:f>E13-H13+I13</x:f>
        <x:v>1544</x:v>
      </x:c>
      <x:c r="K13" s="51" t="n">
        <x:f>J13-(E13-H13+I13)</x:f>
        <x:v>0</x:v>
      </x:c>
      <x:c r="L13" s="40" t="str">
        <x:v>S04</x:v>
      </x:c>
    </x:row>
    <x:row r="14">
      <x:c r="A14" s="40" t="str">
        <x:v>Vince Carter</x:v>
      </x:c>
      <x:c r="B14" s="40" t="str">
        <x:v>F</x:v>
      </x:c>
      <x:c r="C14" s="40" t="n">
        <x:v>76</x:v>
      </x:c>
      <x:c r="D14" s="40" t="n">
        <x:v>9</x:v>
      </x:c>
      <x:c r="E14" s="40" t="n">
        <x:v>1330</x:v>
      </x:c>
      <x:c r="F14" s="44" t="n">
        <x:f>IF(C14=0,0,E14/C14)</x:f>
        <x:v>17.5</x:v>
      </x:c>
      <x:c r="G14" s="40" t="str">
        <x:v>PROTECTED_ROLE</x:v>
      </x:c>
      <x:c r="H14" s="50" t="n">
        <x:v>0</x:v>
      </x:c>
      <x:c r="I14" s="50" t="n">
        <x:v>0</x:v>
      </x:c>
      <x:c r="J14" s="51" t="n">
        <x:f>E14-H14+I14</x:f>
        <x:v>1330</x:v>
      </x:c>
      <x:c r="K14" s="51" t="n">
        <x:f>J14-(E14-H14+I14)</x:f>
        <x:v>0</x:v>
      </x:c>
      <x:c r="L14" s="40" t="str">
        <x:v>S04</x:v>
      </x:c>
    </x:row>
    <x:row r="15">
      <x:c r="A15" s="40" t="str">
        <x:v>Jeremy Lin</x:v>
      </x:c>
      <x:c r="B15" s="40" t="str">
        <x:v>G</x:v>
      </x:c>
      <x:c r="C15" s="40" t="n">
        <x:v>51</x:v>
      </x:c>
      <x:c r="D15" s="40" t="n">
        <x:v>1</x:v>
      </x:c>
      <x:c r="E15" s="40" t="n">
        <x:v>1003</x:v>
      </x:c>
      <x:c r="F15" s="44" t="n">
        <x:f>IF(C15=0,0,E15/C15)</x:f>
        <x:v>19.666666666666668</x:v>
      </x:c>
      <x:c r="G15" s="40" t="str">
        <x:v>GUARD_POOL</x:v>
      </x:c>
      <x:c r="H15" s="50" t="n">
        <x:v>0</x:v>
      </x:c>
      <x:c r="I15" s="50" t="n">
        <x:v>0</x:v>
      </x:c>
      <x:c r="J15" s="51" t="n">
        <x:f>E15-H15+I15</x:f>
        <x:v>1003</x:v>
      </x:c>
      <x:c r="K15" s="51" t="n">
        <x:f>J15-(E15-H15+I15)</x:f>
        <x:v>0</x:v>
      </x:c>
      <x:c r="L15" s="40" t="str">
        <x:v>S04</x:v>
      </x:c>
    </x:row>
    <x:row r="16">
      <x:c r="A16" s="40" t="str">
        <x:v>Omari Spellman</x:v>
      </x:c>
      <x:c r="B16" s="40" t="str">
        <x:v>F</x:v>
      </x:c>
      <x:c r="C16" s="40" t="n">
        <x:v>46</x:v>
      </x:c>
      <x:c r="D16" s="40" t="n">
        <x:v>11</x:v>
      </x:c>
      <x:c r="E16" s="40" t="n">
        <x:v>805</x:v>
      </x:c>
      <x:c r="F16" s="44" t="n">
        <x:f>IF(C16=0,0,E16/C16)</x:f>
        <x:v>17.5</x:v>
      </x:c>
      <x:c r="G16" s="40" t="str">
        <x:v>PRIMARY_REPLACED_SLOT</x:v>
      </x:c>
      <x:c r="H16" s="50" t="n">
        <x:v>805</x:v>
      </x:c>
      <x:c r="I16" s="50" t="n">
        <x:v>0</x:v>
      </x:c>
      <x:c r="J16" s="51" t="n">
        <x:f>E16-H16+I16</x:f>
        <x:v>0</x:v>
      </x:c>
      <x:c r="K16" s="51" t="n">
        <x:f>J16-(E16-H16+I16)</x:f>
        <x:v>0</x:v>
      </x:c>
      <x:c r="L16" s="40" t="str">
        <x:v>S04/S40</x:v>
      </x:c>
    </x:row>
    <x:row r="17">
      <x:c r="A17" s="40" t="str">
        <x:v>Justin Anderson</x:v>
      </x:c>
      <x:c r="B17" s="40" t="str">
        <x:v>SF</x:v>
      </x:c>
      <x:c r="C17" s="40" t="n">
        <x:v>48</x:v>
      </x:c>
      <x:c r="D17" s="40" t="n">
        <x:v>4</x:v>
      </x:c>
      <x:c r="E17" s="40" t="n">
        <x:v>463</x:v>
      </x:c>
      <x:c r="F17" s="44" t="n">
        <x:f>IF(C17=0,0,E17/C17)</x:f>
        <x:v>9.645833333333334</x:v>
      </x:c>
      <x:c r="G17" s="40" t="str">
        <x:v>FALLBACK_FORWARD</x:v>
      </x:c>
      <x:c r="H17" s="50" t="n">
        <x:v>0</x:v>
      </x:c>
      <x:c r="I17" s="50" t="n">
        <x:f>SUMIF('ATL Receivers'!$G$7:$G$37,A17,'ATL Receivers'!$L$7:$L$37)</x:f>
        <x:v>105.60000000000001</x:v>
      </x:c>
      <x:c r="J17" s="51" t="n">
        <x:f>E17-H17+I17</x:f>
        <x:v>568.6</x:v>
      </x:c>
      <x:c r="K17" s="51" t="n">
        <x:f>J17-(E17-H17+I17)</x:f>
        <x:v>0</x:v>
      </x:c>
      <x:c r="L17" s="40" t="str">
        <x:v>S04/S44/S45</x:v>
      </x:c>
    </x:row>
    <x:row r="18">
      <x:c r="A18" s="40" t="str">
        <x:v>Jaylen Adams</x:v>
      </x:c>
      <x:c r="B18" s="40" t="str">
        <x:v>G</x:v>
      </x:c>
      <x:c r="C18" s="40" t="n">
        <x:v>34</x:v>
      </x:c>
      <x:c r="D18" s="40" t="n">
        <x:v>1</x:v>
      </x:c>
      <x:c r="E18" s="40" t="n">
        <x:v>428</x:v>
      </x:c>
      <x:c r="F18" s="44" t="n">
        <x:f>IF(C18=0,0,E18/C18)</x:f>
        <x:v>12.588235294117647</x:v>
      </x:c>
      <x:c r="G18" s="40" t="str">
        <x:v>GUARD_POOL</x:v>
      </x:c>
      <x:c r="H18" s="50" t="n">
        <x:v>0</x:v>
      </x:c>
      <x:c r="I18" s="50" t="n">
        <x:v>0</x:v>
      </x:c>
      <x:c r="J18" s="51" t="n">
        <x:f>E18-H18+I18</x:f>
        <x:v>428</x:v>
      </x:c>
      <x:c r="K18" s="51" t="n">
        <x:f>J18-(E18-H18+I18)</x:f>
        <x:v>0</x:v>
      </x:c>
      <x:c r="L18" s="40" t="str">
        <x:v>S04</x:v>
      </x:c>
    </x:row>
    <x:row r="19">
      <x:c r="A19" s="40" t="str">
        <x:v>Alex Poythress</x:v>
      </x:c>
      <x:c r="B19" s="40" t="str">
        <x:v>F</x:v>
      </x:c>
      <x:c r="C19" s="40" t="n">
        <x:v>21</x:v>
      </x:c>
      <x:c r="D19" s="40" t="n">
        <x:v>1</x:v>
      </x:c>
      <x:c r="E19" s="40" t="n">
        <x:v>305</x:v>
      </x:c>
      <x:c r="F19" s="44" t="n">
        <x:f>IF(C19=0,0,E19/C19)</x:f>
        <x:v>14.523809523809524</x:v>
      </x:c>
      <x:c r="G19" s="40" t="str">
        <x:v>FALLBACK_FORWARD</x:v>
      </x:c>
      <x:c r="H19" s="50" t="n">
        <x:v>0</x:v>
      </x:c>
      <x:c r="I19" s="50" t="n">
        <x:f>SUMIF('ATL Receivers'!$G$7:$G$37,A19,'ATL Receivers'!$L$7:$L$37)</x:f>
        <x:v>48.6</x:v>
      </x:c>
      <x:c r="J19" s="51" t="n">
        <x:f>E19-H19+I19</x:f>
        <x:v>353.6</x:v>
      </x:c>
      <x:c r="K19" s="51" t="n">
        <x:f>J19-(E19-H19+I19)</x:f>
        <x:v>0</x:v>
      </x:c>
      <x:c r="L19" s="40" t="str">
        <x:v>S04/S44/S46</x:v>
      </x:c>
    </x:row>
    <x:row r="20">
      <x:c r="A20" s="40" t="str">
        <x:v>Tyler Dorsey</x:v>
      </x:c>
      <x:c r="B20" s="40" t="str">
        <x:v>G</x:v>
      </x:c>
      <x:c r="C20" s="40" t="n">
        <x:v>27</x:v>
      </x:c>
      <x:c r="D20" s="40" t="n">
        <x:v>0</x:v>
      </x:c>
      <x:c r="E20" s="40" t="n">
        <x:v>251</x:v>
      </x:c>
      <x:c r="F20" s="44" t="n">
        <x:f>IF(C20=0,0,E20/C20)</x:f>
        <x:v>9.296296296296296</x:v>
      </x:c>
      <x:c r="G20" s="40" t="str">
        <x:v>GUARD_POOL</x:v>
      </x:c>
      <x:c r="H20" s="50" t="n">
        <x:v>0</x:v>
      </x:c>
      <x:c r="I20" s="50" t="n">
        <x:v>0</x:v>
      </x:c>
      <x:c r="J20" s="51" t="n">
        <x:f>E20-H20+I20</x:f>
        <x:v>251</x:v>
      </x:c>
      <x:c r="K20" s="51" t="n">
        <x:f>J20-(E20-H20+I20)</x:f>
        <x:v>0</x:v>
      </x:c>
      <x:c r="L20" s="40" t="str">
        <x:v>S04</x:v>
      </x:c>
    </x:row>
    <x:row r="21">
      <x:c r="A21" s="40" t="str">
        <x:v>Daniel Hamilton</x:v>
      </x:c>
      <x:c r="B21" s="40" t="str">
        <x:v>G-F</x:v>
      </x:c>
      <x:c r="C21" s="40" t="n">
        <x:v>19</x:v>
      </x:c>
      <x:c r="D21" s="40" t="n">
        <x:v>3</x:v>
      </x:c>
      <x:c r="E21" s="40" t="n">
        <x:v>204</x:v>
      </x:c>
      <x:c r="F21" s="44" t="n">
        <x:f>IF(C21=0,0,E21/C21)</x:f>
        <x:v>10.736842105263158</x:v>
      </x:c>
      <x:c r="G21" s="40" t="str">
        <x:v>RESERVE</x:v>
      </x:c>
      <x:c r="H21" s="50" t="n">
        <x:v>0</x:v>
      </x:c>
      <x:c r="I21" s="50" t="n">
        <x:f>SUMIF('ATL Receivers'!$G$7:$G$37,A21,'ATL Receivers'!$L$7:$L$37)</x:f>
        <x:v>11.399999999999999</x:v>
      </x:c>
      <x:c r="J21" s="51" t="n">
        <x:f>E21-H21+I21</x:f>
        <x:v>215.4</x:v>
      </x:c>
      <x:c r="K21" s="51" t="n">
        <x:f>J21-(E21-H21+I21)</x:f>
        <x:v>0</x:v>
      </x:c>
      <x:c r="L21" s="40" t="str">
        <x:v>S04/S44</x:v>
      </x:c>
    </x:row>
    <x:row r="22">
      <x:c r="A22" s="40" t="str">
        <x:v>Miles Plumlee</x:v>
      </x:c>
      <x:c r="B22" s="40" t="str">
        <x:v>F-C</x:v>
      </x:c>
      <x:c r="C22" s="40" t="n">
        <x:v>18</x:v>
      </x:c>
      <x:c r="D22" s="40" t="n">
        <x:v>0</x:v>
      </x:c>
      <x:c r="E22" s="40" t="n">
        <x:v>173</x:v>
      </x:c>
      <x:c r="F22" s="44" t="n">
        <x:f>IF(C22=0,0,E22/C22)</x:f>
        <x:v>9.61111111111111</x:v>
      </x:c>
      <x:c r="G22" s="40" t="str">
        <x:v>CENTER_POOL</x:v>
      </x:c>
      <x:c r="H22" s="50" t="n">
        <x:v>0</x:v>
      </x:c>
      <x:c r="I22" s="50" t="n">
        <x:f>SUMIF('ATL Receivers'!$G$7:$G$37,A22,'ATL Receivers'!$L$7:$L$37)</x:f>
        <x:v>17.5</x:v>
      </x:c>
      <x:c r="J22" s="51" t="n">
        <x:f>E22-H22+I22</x:f>
        <x:v>190.5</x:v>
      </x:c>
      <x:c r="K22" s="51" t="n">
        <x:f>J22-(E22-H22+I22)</x:f>
        <x:v>0</x:v>
      </x:c>
      <x:c r="L22" s="40" t="str">
        <x:v>S04/S44</x:v>
      </x:c>
    </x:row>
    <x:row r="23">
      <x:c r="A23" s="40" t="str">
        <x:v>Deyonta Davis</x:v>
      </x:c>
      <x:c r="B23" s="40" t="str">
        <x:v>C</x:v>
      </x:c>
      <x:c r="C23" s="40" t="n">
        <x:v>9</x:v>
      </x:c>
      <x:c r="D23" s="40" t="n">
        <x:v>0</x:v>
      </x:c>
      <x:c r="E23" s="40" t="n">
        <x:v>118</x:v>
      </x:c>
      <x:c r="F23" s="44" t="n">
        <x:f>IF(C23=0,0,E23/C23)</x:f>
        <x:v>13.11111111111111</x:v>
      </x:c>
      <x:c r="G23" s="40" t="str">
        <x:v>CENTER_POOL</x:v>
      </x:c>
      <x:c r="H23" s="50" t="n">
        <x:v>0</x:v>
      </x:c>
      <x:c r="I23" s="50" t="n">
        <x:v>0</x:v>
      </x:c>
      <x:c r="J23" s="51" t="n">
        <x:f>E23-H23+I23</x:f>
        <x:v>118</x:v>
      </x:c>
      <x:c r="K23" s="51" t="n">
        <x:f>J23-(E23-H23+I23)</x:f>
        <x:v>0</x:v>
      </x:c>
      <x:c r="L23" s="40" t="str">
        <x:v>S04</x:v>
      </x:c>
    </x:row>
    <x:row r="24">
      <x:c r="A24" s="40" t="str">
        <x:v>Isaac Humphries</x:v>
      </x:c>
      <x:c r="B24" s="40" t="str">
        <x:v>C</x:v>
      </x:c>
      <x:c r="C24" s="40" t="n">
        <x:v>5</x:v>
      </x:c>
      <x:c r="D24" s="40" t="n">
        <x:v>1</x:v>
      </x:c>
      <x:c r="E24" s="40" t="n">
        <x:v>56</x:v>
      </x:c>
      <x:c r="F24" s="44" t="n">
        <x:f>IF(C24=0,0,E24/C24)</x:f>
        <x:v>11.2</x:v>
      </x:c>
      <x:c r="G24" s="40" t="str">
        <x:v>CENTER_POOL</x:v>
      </x:c>
      <x:c r="H24" s="50" t="n">
        <x:v>0</x:v>
      </x:c>
      <x:c r="I24" s="50" t="n">
        <x:v>0</x:v>
      </x:c>
      <x:c r="J24" s="51" t="n">
        <x:f>E24-H24+I24</x:f>
        <x:v>56</x:v>
      </x:c>
      <x:c r="K24" s="51" t="n">
        <x:f>J24-(E24-H24+I24)</x:f>
        <x:v>0</x:v>
      </x:c>
      <x:c r="L24" s="40" t="str">
        <x:v>S04</x:v>
      </x:c>
    </x:row>
    <x:row r="25">
      <x:c r="A25" s="40" t="str">
        <x:v>B.J. Johnson</x:v>
      </x:c>
      <x:c r="B25" s="40" t="str">
        <x:v>SF</x:v>
      </x:c>
      <x:c r="C25" s="40" t="n">
        <x:v>6</x:v>
      </x:c>
      <x:c r="D25" s="40" t="n">
        <x:v>0</x:v>
      </x:c>
      <x:c r="E25" s="40" t="n">
        <x:v>43</x:v>
      </x:c>
      <x:c r="F25" s="44" t="n">
        <x:f>IF(C25=0,0,E25/C25)</x:f>
        <x:v>7.166666666666667</x:v>
      </x:c>
      <x:c r="G25" s="40" t="str">
        <x:v>FALLBACK_FORWARD</x:v>
      </x:c>
      <x:c r="H25" s="50" t="n">
        <x:v>0</x:v>
      </x:c>
      <x:c r="I25" s="50" t="n">
        <x:f>SUMIF('ATL Receivers'!$G$7:$G$37,A25,'ATL Receivers'!$L$7:$L$37)</x:f>
        <x:v>0</x:v>
      </x:c>
      <x:c r="J25" s="51" t="n">
        <x:f>E25-H25+I25</x:f>
        <x:v>43</x:v>
      </x:c>
      <x:c r="K25" s="51" t="n">
        <x:f>J25-(E25-H25+I25)</x:f>
        <x:v>0</x:v>
      </x:c>
      <x:c r="L25" s="40" t="str">
        <x:v>S04/S44</x:v>
      </x:c>
    </x:row>
    <x:row r="26">
      <x:c r="A26" s="40" t="str">
        <x:v>Tyler Zeller</x:v>
      </x:c>
      <x:c r="B26" s="40" t="str">
        <x:v>F-C</x:v>
      </x:c>
      <x:c r="C26" s="40" t="n">
        <x:v>2</x:v>
      </x:c>
      <x:c r="D26" s="40" t="n">
        <x:v>0</x:v>
      </x:c>
      <x:c r="E26" s="40" t="n">
        <x:v>11</x:v>
      </x:c>
      <x:c r="F26" s="44" t="n">
        <x:f>IF(C26=0,0,E26/C26)</x:f>
        <x:v>5.5</x:v>
      </x:c>
      <x:c r="G26" s="40" t="str">
        <x:v>CENTER_POOL</x:v>
      </x:c>
      <x:c r="H26" s="50" t="n">
        <x:v>0</x:v>
      </x:c>
      <x:c r="I26" s="50" t="n">
        <x:v>0</x:v>
      </x:c>
      <x:c r="J26" s="51" t="n">
        <x:f>E26-H26+I26</x:f>
        <x:v>11</x:v>
      </x:c>
      <x:c r="K26" s="51" t="n">
        <x:f>J26-(E26-H26+I26)</x:f>
        <x:v>0</x:v>
      </x:c>
      <x:c r="L26" s="40" t="str">
        <x:v>S04</x:v>
      </x:c>
    </x:row>
    <x:row r="27">
      <x:c r="A27" s="40" t="str">
        <x:v>Jordan Sibert</x:v>
      </x:c>
      <x:c r="B27" s="40" t="str">
        <x:v>SG</x:v>
      </x:c>
      <x:c r="C27" s="40" t="n">
        <x:v>1</x:v>
      </x:c>
      <x:c r="D27" s="40" t="n">
        <x:v>0</x:v>
      </x:c>
      <x:c r="E27" s="40" t="n">
        <x:v>4</x:v>
      </x:c>
      <x:c r="F27" s="44" t="n">
        <x:f>IF(C27=0,0,E27/C27)</x:f>
        <x:v>4</x:v>
      </x:c>
      <x:c r="G27" s="40" t="str">
        <x:v>RESERVE</x:v>
      </x:c>
      <x:c r="H27" s="50" t="n">
        <x:v>0</x:v>
      </x:c>
      <x:c r="I27" s="50" t="n">
        <x:v>0</x:v>
      </x:c>
      <x:c r="J27" s="51" t="n">
        <x:f>E27-H27+I27</x:f>
        <x:v>4</x:v>
      </x:c>
      <x:c r="K27" s="51" t="n">
        <x:f>J27-(E27-H27+I27)</x:f>
        <x:v>0</x:v>
      </x:c>
      <x:c r="L27" s="40" t="str">
        <x:v>S04</x:v>
      </x:c>
    </x:row>
    <x:row r="28">
      <x:c r="A28" s="40" t="str">
        <x:v>Fictional protagonist</x:v>
      </x:c>
      <x:c r="B28" s="40" t="str">
        <x:v>F</x:v>
      </x:c>
      <x:c r="C28" s="40" t="n">
        <x:v>0</x:v>
      </x:c>
      <x:c r="D28" s="40" t="n">
        <x:v>0</x:v>
      </x:c>
      <x:c r="E28" s="40" t="n">
        <x:v>0</x:v>
      </x:c>
      <x:c r="F28" s="44" t="n">
        <x:f>IF(C28=0,0,E28/C28)</x:f>
        <x:v>0</x:v>
      </x:c>
      <x:c r="G28" s="40" t="str">
        <x:v>CF_INCOMING</x:v>
      </x:c>
      <x:c r="H28" s="50" t="n">
        <x:v>0</x:v>
      </x:c>
      <x:c r="I28" s="50" t="n">
        <x:f>SUM('Game Ledger'!$R$6:$R$87)</x:f>
        <x:v>621.9000000000001</x:v>
      </x:c>
      <x:c r="J28" s="51" t="n">
        <x:f>E28-H28+I28</x:f>
        <x:v>621.9000000000001</x:v>
      </x:c>
      <x:c r="K28" s="51" t="n">
        <x:f>J28-(E28-H28+I28)</x:f>
        <x:v>0</x:v>
      </x:c>
      <x:c r="L28" s="40" t="str">
        <x:v>S40</x:v>
      </x:c>
    </x:row>
    <x:row r="29">
      <x:c r="A29" s="40" t="str">
        <x:v>ATL_REMAINDER_POOL</x:v>
      </x:c>
      <x:c r="B29" s="40" t="str">
        <x:v>—</x:v>
      </x:c>
      <x:c r="C29" s="40" t="n">
        <x:v>0</x:v>
      </x:c>
      <x:c r="D29" s="40" t="n">
        <x:v>0</x:v>
      </x:c>
      <x:c r="E29" s="40" t="n">
        <x:v>0</x:v>
      </x:c>
      <x:c r="F29" s="44" t="n">
        <x:f>IF(C29=0,0,E29/C29)</x:f>
        <x:v>0</x:v>
      </x:c>
      <x:c r="G29" s="40" t="str">
        <x:v>RESOLVED_ACCOUNTING_BRIDGE</x:v>
      </x:c>
      <x:c r="H29" s="50" t="n">
        <x:v>0</x:v>
      </x:c>
      <x:c r="I29" s="50" t="n">
        <x:f>SUM('Game Ledger'!$T$6:$T$87)-SUM('ATL Receivers'!$L$7:$L$37)</x:f>
        <x:v>0</x:v>
      </x:c>
      <x:c r="J29" s="51" t="n">
        <x:f>E29-H29+I29</x:f>
        <x:v>0</x:v>
      </x:c>
      <x:c r="K29" s="51" t="n">
        <x:f>J29-(E29-H29+I29)</x:f>
        <x:v>0</x:v>
      </x:c>
      <x:c r="L29" s="40" t="str">
        <x:v>S40/S44</x:v>
      </x:c>
    </x:row>
    <x:row r="31">
      <x:c r="A31" s="6" t="str">
        <x:v>TOTAL</x:v>
      </x:c>
      <x:c r="B31" s="6"/>
      <x:c r="C31" s="6"/>
      <x:c r="D31" s="6"/>
      <x:c r="E31" s="6" t="n">
        <x:f>SUM(E6:E29)</x:f>
        <x:v>19853</x:v>
      </x:c>
      <x:c r="F31" s="6"/>
      <x:c r="G31" s="6"/>
      <x:c r="H31" s="6" t="n">
        <x:f>SUM(H6:H29)</x:f>
        <x:v>805</x:v>
      </x:c>
      <x:c r="I31" s="6" t="n">
        <x:f>SUM(I6:I29)</x:f>
        <x:v>805.0000000000001</x:v>
      </x:c>
      <x:c r="J31" s="6" t="n">
        <x:f>SUM(J6:J29)</x:f>
        <x:v>19853</x:v>
      </x:c>
      <x:c r="K31" s="6" t="n">
        <x:f>SUM(K6:K29)</x:f>
        <x:v>0</x:v>
      </x:c>
      <x:c r="L31" s="6"/>
    </x:row>
    <x:row r="33">
      <x:c r="A33" s="79" t="str">
        <x:v>Primary rule</x:v>
      </x:c>
      <x:c r="B33" s="79" t="str">
        <x:v>Donor ≥7.0; cap 16.0</x:v>
      </x:c>
      <x:c r="C33" s="79"/>
      <x:c r="D33" s="79" t="str">
        <x:v>Exact NBA line</x:v>
      </x:c>
      <x:c r="E33" s="79" t="str">
        <x:v>43 GP / 621.9 MIN / 14.46 MPG</x:v>
      </x:c>
      <x:c r="F33" s="79"/>
      <x:c r="G33" s="79"/>
      <x:c r="H33" s="79" t="str">
        <x:v>Named receivers</x:v>
      </x:c>
      <x:c r="I33" s="79" t="str">
        <x:v>183.1 min / 4 players / 0 unresolved</x:v>
      </x:c>
      <x:c r="J33" s="79"/>
      <x:c r="K33" s="79"/>
      <x:c r="L33" s="79"/>
    </x:row>
  </x:sheetData>
  <x:mergeCells>
    <x:mergeCell ref="A1:L2"/>
    <x:mergeCell ref="A3:L3"/>
    <x:mergeCell ref="B33:C33"/>
    <x:mergeCell ref="E33:G33"/>
    <x:mergeCell ref="I33:K33"/>
  </x:mergeCells>
  <x:pageMargins left="0.7" right="0.7" top="0.75" bottom="0.75" header="0.3" footer="0.3"/>
  <x:tableParts count="1">
    <x:tablePart xmlns:r="http://schemas.openxmlformats.org/officeDocument/2006/relationships" r:id="Red07acd49e0445b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2" hidden="0" customWidth="1"/>
    <x:col min="4" max="4" width="34" hidden="0" customWidth="1"/>
    <x:col min="5" max="5" width="24" hidden="0" customWidth="1"/>
    <x:col min="6" max="6" width="22" hidden="0" customWidth="1"/>
    <x:col min="7" max="7" width="17" hidden="0" customWidth="1"/>
    <x:col min="8" max="8" width="17" hidden="0" customWidth="1"/>
    <x:col min="9" max="9" width="48" hidden="0" customWidth="1"/>
    <x:col min="10" max="10" width="28" hidden="0" customWidth="1"/>
    <x:col min="11" max="11" width="14" hidden="0" customWidth="1"/>
  </x:cols>
  <x:sheetData>
    <x:row r="1" ht="32" customHeight="1">
      <x:c r="A1" s="3" t="str">
        <x:v>2018 PICKS 30-60 — COMPRESSED COUNTERFACTUAL BOARD</x:v>
      </x:c>
    </x:row>
    <x:row r="4">
      <x:c r="A4" s="6" t="str">
        <x:v>Scanned picks</x:v>
      </x:c>
      <x:c r="B4" s="6" t="n">
        <x:f>COUNTA(A7:A37)</x:f>
        <x:v>31</x:v>
      </x:c>
      <x:c r="C4" s="6" t="str">
        <x:v>Changed/cascade</x:v>
      </x:c>
      <x:c r="D4" s="6" t="n">
        <x:f>COUNTIF(G7:G37,"CHANGED")+COUNTIF(G7:G37,"CASCADE")</x:f>
        <x:v>4</x:v>
      </x:c>
      <x:c r="E4" s="6" t="str">
        <x:v>Unchanged</x:v>
      </x:c>
      <x:c r="F4" s="6" t="n">
        <x:f>COUNTIF(G7:G37,"UNCHANGED")</x:f>
        <x:v>27</x:v>
      </x:c>
      <x:c r="G4" s="6" t="str">
        <x:v>Next blocker</x:v>
      </x:c>
      <x:c r="H4" s="6" t="str">
        <x:v>ATL prior calibration + pB/workload</x:v>
      </x:c>
    </x:row>
    <x:row r="6">
      <x:c r="A6" s="11" t="str">
        <x:v>Pick</x:v>
      </x:c>
      <x:c r="B6" s="11" t="str">
        <x:v>Actual destination</x:v>
      </x:c>
      <x:c r="C6" s="11" t="str">
        <x:v>Actual player</x:v>
      </x:c>
      <x:c r="D6" s="11" t="str">
        <x:v>Actual trade/path</x:v>
      </x:c>
      <x:c r="E6" s="11" t="str">
        <x:v>CF destination</x:v>
      </x:c>
      <x:c r="F6" s="11" t="str">
        <x:v>CF player</x:v>
      </x:c>
      <x:c r="G6" s="11" t="str">
        <x:v>Status</x:v>
      </x:c>
      <x:c r="H6" s="11" t="str">
        <x:v>Incoming displaced</x:v>
      </x:c>
      <x:c r="I6" s="11" t="str">
        <x:v>Decision reason</x:v>
      </x:c>
      <x:c r="J6" s="11" t="str">
        <x:v>Downstream</x:v>
      </x:c>
      <x:c r="K6" s="11" t="str">
        <x:v>Source ID</x:v>
      </x:c>
    </x:row>
    <x:row r="7">
      <x:c r="A7" s="86" t="n">
        <x:v>30</x:v>
      </x:c>
      <x:c r="B7" s="86" t="str">
        <x:v>Atlanta Hawks</x:v>
      </x:c>
      <x:c r="C7" s="86" t="str">
        <x:v>Omari Spellman</x:v>
      </x:c>
      <x:c r="D7" s="86" t="str">
        <x:v>Own pick</x:v>
      </x:c>
      <x:c r="E7" s="86" t="str">
        <x:v>Atlanta Hawks</x:v>
      </x:c>
      <x:c r="F7" s="86" t="str">
        <x:v>Fictional protagonist</x:v>
      </x:c>
      <x:c r="G7" s="86" t="str">
        <x:v>CHANGED</x:v>
      </x:c>
      <x:c r="H7" s="86" t="str">
        <x:v>Protagonist</x:v>
      </x:c>
      <x:c r="I7" s="86" t="str">
        <x:v>The new player occupies Atlanta's actual #30 slot.</x:v>
      </x:c>
      <x:c r="J7" s="86" t="str">
        <x:v>Atlanta roster/minutes rerun</x:v>
      </x:c>
      <x:c r="K7" s="86" t="str">
        <x:v>S12/S13</x:v>
      </x:c>
    </x:row>
    <x:row r="8">
      <x:c r="A8" s="84" t="n">
        <x:v>31</x:v>
      </x:c>
      <x:c r="B8" s="84" t="str">
        <x:v>Phoenix Suns</x:v>
      </x:c>
      <x:c r="C8" s="84" t="str">
        <x:v>Elie Okobo</x:v>
      </x:c>
      <x:c r="D8" s="84" t="str">
        <x:v>Own pick</x:v>
      </x:c>
      <x:c r="E8" s="84" t="str">
        <x:v>Phoenix Suns</x:v>
      </x:c>
      <x:c r="F8" s="84" t="str">
        <x:v>Elie Okobo</x:v>
      </x:c>
      <x:c r="G8" s="122" t="str">
        <x:v>UNCHANGED</x:v>
      </x:c>
      <x:c r="H8" s="84" t="str">
        <x:v>None</x:v>
      </x:c>
      <x:c r="I8" s="84" t="str">
        <x:v>Guard-development choice remains rational.</x:v>
      </x:c>
      <x:c r="J8" s="84" t="str">
        <x:v>Actual path preserved</x:v>
      </x:c>
      <x:c r="K8" s="84" t="str">
        <x:v>S13</x:v>
      </x:c>
    </x:row>
    <x:row r="9">
      <x:c r="A9" s="84" t="n">
        <x:v>32</x:v>
      </x:c>
      <x:c r="B9" s="84" t="str">
        <x:v>Memphis Grizzlies</x:v>
      </x:c>
      <x:c r="C9" s="84" t="str">
        <x:v>Jevon Carter</x:v>
      </x:c>
      <x:c r="D9" s="84" t="str">
        <x:v>Own pick</x:v>
      </x:c>
      <x:c r="E9" s="84" t="str">
        <x:v>Memphis Grizzlies</x:v>
      </x:c>
      <x:c r="F9" s="84" t="str">
        <x:v>Jevon Carter</x:v>
      </x:c>
      <x:c r="G9" s="122" t="str">
        <x:v>UNCHANGED</x:v>
      </x:c>
      <x:c r="H9" s="84" t="str">
        <x:v>None</x:v>
      </x:c>
      <x:c r="I9" s="84" t="str">
        <x:v>Point-of-attack guard need remains distinct.</x:v>
      </x:c>
      <x:c r="J9" s="84" t="str">
        <x:v>Actual path preserved</x:v>
      </x:c>
      <x:c r="K9" s="84" t="str">
        <x:v>S13</x:v>
      </x:c>
    </x:row>
    <x:row r="10">
      <x:c r="A10" s="84" t="n">
        <x:v>33</x:v>
      </x:c>
      <x:c r="B10" s="84" t="str">
        <x:v>Dallas Mavericks</x:v>
      </x:c>
      <x:c r="C10" s="84" t="str">
        <x:v>Jalen Brunson</x:v>
      </x:c>
      <x:c r="D10" s="84" t="str">
        <x:v>Own pick</x:v>
      </x:c>
      <x:c r="E10" s="84" t="str">
        <x:v>Dallas Mavericks</x:v>
      </x:c>
      <x:c r="F10" s="84" t="str">
        <x:v>Jalen Brunson</x:v>
      </x:c>
      <x:c r="G10" s="122" t="str">
        <x:v>UNCHANGED</x:v>
      </x:c>
      <x:c r="H10" s="84" t="str">
        <x:v>None</x:v>
      </x:c>
      <x:c r="I10" s="84" t="str">
        <x:v>Lead-guard depth remains the stronger fit.</x:v>
      </x:c>
      <x:c r="J10" s="84" t="str">
        <x:v>Actual path preserved</x:v>
      </x:c>
      <x:c r="K10" s="84" t="str">
        <x:v>S13</x:v>
      </x:c>
    </x:row>
    <x:row r="11">
      <x:c r="A11" s="84" t="n">
        <x:v>34</x:v>
      </x:c>
      <x:c r="B11" s="84" t="str">
        <x:v>Charlotte Hornets</x:v>
      </x:c>
      <x:c r="C11" s="84" t="str">
        <x:v>Devonte' Graham</x:v>
      </x:c>
      <x:c r="D11" s="84" t="str">
        <x:v>Rights from ATL for 2019 + 2023 seconds</x:v>
      </x:c>
      <x:c r="E11" s="84" t="str">
        <x:v>Charlotte Hornets</x:v>
      </x:c>
      <x:c r="F11" s="84" t="str">
        <x:v>Devonte' Graham</x:v>
      </x:c>
      <x:c r="G11" s="122" t="str">
        <x:v>UNCHANGED</x:v>
      </x:c>
      <x:c r="H11" s="84" t="str">
        <x:v>None</x:v>
      </x:c>
      <x:c r="I11" s="84" t="str">
        <x:v>Charlotte paid two future seconds for a directed guard choice.</x:v>
      </x:c>
      <x:c r="J11" s="84" t="str">
        <x:v>ATL asset trade preserved</x:v>
      </x:c>
      <x:c r="K11" s="84" t="str">
        <x:v>S13</x:v>
      </x:c>
    </x:row>
    <x:row r="12">
      <x:c r="A12" s="84" t="n">
        <x:v>35</x:v>
      </x:c>
      <x:c r="B12" s="84" t="str">
        <x:v>Orlando Magic</x:v>
      </x:c>
      <x:c r="C12" s="84" t="str">
        <x:v>Melvin Frazier</x:v>
      </x:c>
      <x:c r="D12" s="84" t="str">
        <x:v>Own pick</x:v>
      </x:c>
      <x:c r="E12" s="84" t="str">
        <x:v>Orlando Magic</x:v>
      </x:c>
      <x:c r="F12" s="84" t="str">
        <x:v>Melvin Frazier</x:v>
      </x:c>
      <x:c r="G12" s="122" t="str">
        <x:v>UNCHANGED</x:v>
      </x:c>
      <x:c r="H12" s="84" t="str">
        <x:v>None</x:v>
      </x:c>
      <x:c r="I12" s="84" t="str">
        <x:v>Wing-development lane remains distinct.</x:v>
      </x:c>
      <x:c r="J12" s="84" t="str">
        <x:v>Actual path preserved</x:v>
      </x:c>
      <x:c r="K12" s="84" t="str">
        <x:v>S13</x:v>
      </x:c>
    </x:row>
    <x:row r="13">
      <x:c r="A13" s="84" t="n">
        <x:v>36</x:v>
      </x:c>
      <x:c r="B13" s="84" t="str">
        <x:v>New York Knicks</x:v>
      </x:c>
      <x:c r="C13" s="84" t="str">
        <x:v>Mitchell Robinson</x:v>
      </x:c>
      <x:c r="D13" s="84" t="str">
        <x:v>Own pick</x:v>
      </x:c>
      <x:c r="E13" s="84" t="str">
        <x:v>New York Knicks</x:v>
      </x:c>
      <x:c r="F13" s="84" t="str">
        <x:v>Mitchell Robinson</x:v>
      </x:c>
      <x:c r="G13" s="122" t="str">
        <x:v>UNCHANGED</x:v>
      </x:c>
      <x:c r="H13" s="84" t="str">
        <x:v>None</x:v>
      </x:c>
      <x:c r="I13" s="84" t="str">
        <x:v>Robinson's upside remains the board priority.</x:v>
      </x:c>
      <x:c r="J13" s="84" t="str">
        <x:v>Actual path preserved</x:v>
      </x:c>
      <x:c r="K13" s="84" t="str">
        <x:v>S13</x:v>
      </x:c>
    </x:row>
    <x:row r="14">
      <x:c r="A14" s="84" t="n">
        <x:v>37</x:v>
      </x:c>
      <x:c r="B14" s="84" t="str">
        <x:v>Portland Trail Blazers</x:v>
      </x:c>
      <x:c r="C14" s="84" t="str">
        <x:v>Gary Trent Jr.</x:v>
      </x:c>
      <x:c r="D14" s="84" t="str">
        <x:v>Rights from SAC</x:v>
      </x:c>
      <x:c r="E14" s="84" t="str">
        <x:v>Portland Trail Blazers</x:v>
      </x:c>
      <x:c r="F14" s="84" t="str">
        <x:v>Gary Trent Jr.</x:v>
      </x:c>
      <x:c r="G14" s="122" t="str">
        <x:v>UNCHANGED</x:v>
      </x:c>
      <x:c r="H14" s="84" t="str">
        <x:v>None</x:v>
      </x:c>
      <x:c r="I14" s="84" t="str">
        <x:v>Perimeter shooting/development need remains.</x:v>
      </x:c>
      <x:c r="J14" s="84" t="str">
        <x:v>Actual path preserved</x:v>
      </x:c>
      <x:c r="K14" s="84" t="str">
        <x:v>S13</x:v>
      </x:c>
    </x:row>
    <x:row r="15">
      <x:c r="A15" s="84" t="n">
        <x:v>38</x:v>
      </x:c>
      <x:c r="B15" s="84" t="str">
        <x:v>Detroit Pistons</x:v>
      </x:c>
      <x:c r="C15" s="84" t="str">
        <x:v>Khyri Thomas</x:v>
      </x:c>
      <x:c r="D15" s="84" t="str">
        <x:v>Rights from PHI</x:v>
      </x:c>
      <x:c r="E15" s="84" t="str">
        <x:v>Detroit Pistons</x:v>
      </x:c>
      <x:c r="F15" s="84" t="str">
        <x:v>Khyri Thomas</x:v>
      </x:c>
      <x:c r="G15" s="122" t="str">
        <x:v>UNCHANGED</x:v>
      </x:c>
      <x:c r="H15" s="84" t="str">
        <x:v>None</x:v>
      </x:c>
      <x:c r="I15" s="84" t="str">
        <x:v>Perimeter defense need remains distinct.</x:v>
      </x:c>
      <x:c r="J15" s="84" t="str">
        <x:v>Actual path preserved</x:v>
      </x:c>
      <x:c r="K15" s="84" t="str">
        <x:v>S13</x:v>
      </x:c>
    </x:row>
    <x:row r="16">
      <x:c r="A16" s="84" t="n">
        <x:v>39</x:v>
      </x:c>
      <x:c r="B16" s="84" t="str">
        <x:v>Los Angeles Lakers</x:v>
      </x:c>
      <x:c r="C16" s="84" t="str">
        <x:v>Isaac Bonga</x:v>
      </x:c>
      <x:c r="D16" s="84" t="str">
        <x:v>Rights from PHI</x:v>
      </x:c>
      <x:c r="E16" s="84" t="str">
        <x:v>Los Angeles Lakers</x:v>
      </x:c>
      <x:c r="F16" s="84" t="str">
        <x:v>Isaac Bonga</x:v>
      </x:c>
      <x:c r="G16" s="122" t="str">
        <x:v>UNCHANGED</x:v>
      </x:c>
      <x:c r="H16" s="84" t="str">
        <x:v>None</x:v>
      </x:c>
      <x:c r="I16" s="84" t="str">
        <x:v>Lakers already used #25 on stretch big Moritz Wagner.</x:v>
      </x:c>
      <x:c r="J16" s="84" t="str">
        <x:v>Actual path preserved</x:v>
      </x:c>
      <x:c r="K16" s="84" t="str">
        <x:v>S13</x:v>
      </x:c>
    </x:row>
    <x:row r="17">
      <x:c r="A17" s="84" t="n">
        <x:v>40</x:v>
      </x:c>
      <x:c r="B17" s="84" t="str">
        <x:v>Brooklyn Nets</x:v>
      </x:c>
      <x:c r="C17" s="84" t="str">
        <x:v>Rodions Kurucs</x:v>
      </x:c>
      <x:c r="D17" s="84" t="str">
        <x:v>Own pick</x:v>
      </x:c>
      <x:c r="E17" s="84" t="str">
        <x:v>Brooklyn Nets</x:v>
      </x:c>
      <x:c r="F17" s="84" t="str">
        <x:v>Rodions Kurucs</x:v>
      </x:c>
      <x:c r="G17" s="122" t="str">
        <x:v>UNCHANGED</x:v>
      </x:c>
      <x:c r="H17" s="84" t="str">
        <x:v>None</x:v>
      </x:c>
      <x:c r="I17" s="84" t="str">
        <x:v>Long-running Kurucs scouting interest remains decisive.</x:v>
      </x:c>
      <x:c r="J17" s="84" t="str">
        <x:v>Actual path preserved</x:v>
      </x:c>
      <x:c r="K17" s="84" t="str">
        <x:v>S17</x:v>
      </x:c>
    </x:row>
    <x:row r="18">
      <x:c r="A18" s="84" t="n">
        <x:v>41</x:v>
      </x:c>
      <x:c r="B18" s="84" t="str">
        <x:v>Denver Nuggets</x:v>
      </x:c>
      <x:c r="C18" s="84" t="str">
        <x:v>Jarred Vanderbilt</x:v>
      </x:c>
      <x:c r="D18" s="84" t="str">
        <x:v>Rights from ORL</x:v>
      </x:c>
      <x:c r="E18" s="84" t="str">
        <x:v>Denver Nuggets</x:v>
      </x:c>
      <x:c r="F18" s="84" t="str">
        <x:v>Jarred Vanderbilt</x:v>
      </x:c>
      <x:c r="G18" s="122" t="str">
        <x:v>UNCHANGED</x:v>
      </x:c>
      <x:c r="H18" s="84" t="str">
        <x:v>None</x:v>
      </x:c>
      <x:c r="I18" s="84" t="str">
        <x:v>Vanderbilt upside remains the preferred development bet.</x:v>
      </x:c>
      <x:c r="J18" s="84" t="str">
        <x:v>Actual path preserved</x:v>
      </x:c>
      <x:c r="K18" s="84" t="str">
        <x:v>S13</x:v>
      </x:c>
    </x:row>
    <x:row r="19">
      <x:c r="A19" s="84" t="n">
        <x:v>42</x:v>
      </x:c>
      <x:c r="B19" s="84" t="str">
        <x:v>Detroit Pistons</x:v>
      </x:c>
      <x:c r="C19" s="84" t="str">
        <x:v>Bruce Brown</x:v>
      </x:c>
      <x:c r="D19" s="84" t="str">
        <x:v>Own pick</x:v>
      </x:c>
      <x:c r="E19" s="84" t="str">
        <x:v>Detroit Pistons</x:v>
      </x:c>
      <x:c r="F19" s="84" t="str">
        <x:v>Bruce Brown</x:v>
      </x:c>
      <x:c r="G19" s="122" t="str">
        <x:v>UNCHANGED</x:v>
      </x:c>
      <x:c r="H19" s="84" t="str">
        <x:v>None</x:v>
      </x:c>
      <x:c r="I19" s="84" t="str">
        <x:v>Guard/wing role remains distinct.</x:v>
      </x:c>
      <x:c r="J19" s="84" t="str">
        <x:v>Actual path preserved</x:v>
      </x:c>
      <x:c r="K19" s="84" t="str">
        <x:v>S13</x:v>
      </x:c>
    </x:row>
    <x:row r="20">
      <x:c r="A20" s="84" t="n">
        <x:v>43</x:v>
      </x:c>
      <x:c r="B20" s="84" t="str">
        <x:v>Orlando Magic</x:v>
      </x:c>
      <x:c r="C20" s="84" t="str">
        <x:v>Justin Jackson</x:v>
      </x:c>
      <x:c r="D20" s="84" t="str">
        <x:v>Rights from DEN</x:v>
      </x:c>
      <x:c r="E20" s="84" t="str">
        <x:v>Orlando Magic</x:v>
      </x:c>
      <x:c r="F20" s="84" t="str">
        <x:v>Justin Jackson</x:v>
      </x:c>
      <x:c r="G20" s="122" t="str">
        <x:v>UNCHANGED</x:v>
      </x:c>
      <x:c r="H20" s="84" t="str">
        <x:v>None</x:v>
      </x:c>
      <x:c r="I20" s="84" t="str">
        <x:v>Wing-development lane remains distinct.</x:v>
      </x:c>
      <x:c r="J20" s="84" t="str">
        <x:v>Actual path preserved</x:v>
      </x:c>
      <x:c r="K20" s="84" t="str">
        <x:v>S13</x:v>
      </x:c>
    </x:row>
    <x:row r="21">
      <x:c r="A21" s="84" t="n">
        <x:v>44</x:v>
      </x:c>
      <x:c r="B21" s="84" t="str">
        <x:v>Washington Wizards</x:v>
      </x:c>
      <x:c r="C21" s="84" t="str">
        <x:v>Issuf Sanon</x:v>
      </x:c>
      <x:c r="D21" s="84" t="str">
        <x:v>Own pick; overseas stash</x:v>
      </x:c>
      <x:c r="E21" s="84" t="str">
        <x:v>Washington Wizards</x:v>
      </x:c>
      <x:c r="F21" s="84" t="str">
        <x:v>Issuf Sanon</x:v>
      </x:c>
      <x:c r="G21" s="122" t="str">
        <x:v>UNCHANGED</x:v>
      </x:c>
      <x:c r="H21" s="84" t="str">
        <x:v>None</x:v>
      </x:c>
      <x:c r="I21" s="84" t="str">
        <x:v>Roster/cap plan explicitly favored an overseas stash.</x:v>
      </x:c>
      <x:c r="J21" s="84" t="str">
        <x:v>Actual path preserved</x:v>
      </x:c>
      <x:c r="K21" s="84" t="str">
        <x:v>S16</x:v>
      </x:c>
    </x:row>
    <x:row r="22">
      <x:c r="A22" s="84" t="n">
        <x:v>45</x:v>
      </x:c>
      <x:c r="B22" s="84" t="str">
        <x:v>Oklahoma City Thunder</x:v>
      </x:c>
      <x:c r="C22" s="84" t="str">
        <x:v>Hamidou Diallo</x:v>
      </x:c>
      <x:c r="D22" s="84" t="str">
        <x:v>Rights via BKN/CHA</x:v>
      </x:c>
      <x:c r="E22" s="84" t="str">
        <x:v>Oklahoma City Thunder</x:v>
      </x:c>
      <x:c r="F22" s="84" t="str">
        <x:v>Hamidou Diallo</x:v>
      </x:c>
      <x:c r="G22" s="122" t="str">
        <x:v>UNCHANGED</x:v>
      </x:c>
      <x:c r="H22" s="84" t="str">
        <x:v>None</x:v>
      </x:c>
      <x:c r="I22" s="84" t="str">
        <x:v>Athletic guard target remains distinct.</x:v>
      </x:c>
      <x:c r="J22" s="84" t="str">
        <x:v>Actual path preserved</x:v>
      </x:c>
      <x:c r="K22" s="84" t="str">
        <x:v>S13</x:v>
      </x:c>
    </x:row>
    <x:row r="23">
      <x:c r="A23" s="84" t="n">
        <x:v>46</x:v>
      </x:c>
      <x:c r="B23" s="84" t="str">
        <x:v>Houston Rockets</x:v>
      </x:c>
      <x:c r="C23" s="84" t="str">
        <x:v>De'Anthony Melton</x:v>
      </x:c>
      <x:c r="D23" s="84" t="str">
        <x:v>Own pick</x:v>
      </x:c>
      <x:c r="E23" s="84" t="str">
        <x:v>Houston Rockets</x:v>
      </x:c>
      <x:c r="F23" s="84" t="str">
        <x:v>De'Anthony Melton</x:v>
      </x:c>
      <x:c r="G23" s="122" t="str">
        <x:v>UNCHANGED</x:v>
      </x:c>
      <x:c r="H23" s="84" t="str">
        <x:v>None</x:v>
      </x:c>
      <x:c r="I23" s="84" t="str">
        <x:v>Guard asset profile remains distinct.</x:v>
      </x:c>
      <x:c r="J23" s="84" t="str">
        <x:v>Actual path preserved</x:v>
      </x:c>
      <x:c r="K23" s="84" t="str">
        <x:v>S13</x:v>
      </x:c>
    </x:row>
    <x:row r="24">
      <x:c r="A24" s="84" t="n">
        <x:v>47</x:v>
      </x:c>
      <x:c r="B24" s="84" t="str">
        <x:v>Los Angeles Lakers</x:v>
      </x:c>
      <x:c r="C24" s="84" t="str">
        <x:v>Svi Mykhailiuk</x:v>
      </x:c>
      <x:c r="D24" s="84" t="str">
        <x:v>Own pick</x:v>
      </x:c>
      <x:c r="E24" s="84" t="str">
        <x:v>Los Angeles Lakers</x:v>
      </x:c>
      <x:c r="F24" s="84" t="str">
        <x:v>Svi Mykhailiuk</x:v>
      </x:c>
      <x:c r="G24" s="122" t="str">
        <x:v>UNCHANGED</x:v>
      </x:c>
      <x:c r="H24" s="84" t="str">
        <x:v>None</x:v>
      </x:c>
      <x:c r="I24" s="84" t="str">
        <x:v>Shooting role remains distinct.</x:v>
      </x:c>
      <x:c r="J24" s="84" t="str">
        <x:v>Actual path preserved</x:v>
      </x:c>
      <x:c r="K24" s="84" t="str">
        <x:v>S13</x:v>
      </x:c>
    </x:row>
    <x:row r="25">
      <x:c r="A25" s="84" t="n">
        <x:v>48</x:v>
      </x:c>
      <x:c r="B25" s="84" t="str">
        <x:v>Minnesota Timberwolves</x:v>
      </x:c>
      <x:c r="C25" s="84" t="str">
        <x:v>Keita Bates-Diop</x:v>
      </x:c>
      <x:c r="D25" s="84" t="str">
        <x:v>Own pick</x:v>
      </x:c>
      <x:c r="E25" s="84" t="str">
        <x:v>Minnesota Timberwolves</x:v>
      </x:c>
      <x:c r="F25" s="84" t="str">
        <x:v>Keita Bates-Diop</x:v>
      </x:c>
      <x:c r="G25" s="122" t="str">
        <x:v>UNCHANGED</x:v>
      </x:c>
      <x:c r="H25" s="84" t="str">
        <x:v>None</x:v>
      </x:c>
      <x:c r="I25" s="84" t="str">
        <x:v>Wing-forward choice does not require a cascade.</x:v>
      </x:c>
      <x:c r="J25" s="84" t="str">
        <x:v>Actual path preserved</x:v>
      </x:c>
      <x:c r="K25" s="84" t="str">
        <x:v>S13</x:v>
      </x:c>
    </x:row>
    <x:row r="26">
      <x:c r="A26" s="86" t="n">
        <x:v>49</x:v>
      </x:c>
      <x:c r="B26" s="86" t="str">
        <x:v>San Antonio Spurs</x:v>
      </x:c>
      <x:c r="C26" s="86" t="str">
        <x:v>Chimezie Metu</x:v>
      </x:c>
      <x:c r="D26" s="86" t="str">
        <x:v>Own pick</x:v>
      </x:c>
      <x:c r="E26" s="86" t="str">
        <x:v>San Antonio Spurs</x:v>
      </x:c>
      <x:c r="F26" s="86" t="str">
        <x:v>Omari Spellman</x:v>
      </x:c>
      <x:c r="G26" s="86" t="str">
        <x:v>CHANGED</x:v>
      </x:c>
      <x:c r="H26" s="86" t="str">
        <x:v>Spellman</x:v>
      </x:c>
      <x:c r="I26" s="86" t="str">
        <x:v>Spellman worked out for San Antonio and fit its spacing/IQ profile.</x:v>
      </x:c>
      <x:c r="J26" s="86" t="str">
        <x:v>Spurs baseline role PASS; outcomes HOLD</x:v>
      </x:c>
      <x:c r="K26" s="86" t="str">
        <x:v>S14/S15/S22</x:v>
      </x:c>
    </x:row>
    <x:row r="27">
      <x:c r="A27" s="84" t="n">
        <x:v>50</x:v>
      </x:c>
      <x:c r="B27" s="84" t="str">
        <x:v>Indiana Pacers</x:v>
      </x:c>
      <x:c r="C27" s="84" t="str">
        <x:v>Alize Johnson</x:v>
      </x:c>
      <x:c r="D27" s="84" t="str">
        <x:v>Own pick</x:v>
      </x:c>
      <x:c r="E27" s="84" t="str">
        <x:v>Indiana Pacers</x:v>
      </x:c>
      <x:c r="F27" s="84" t="str">
        <x:v>Alize Johnson</x:v>
      </x:c>
      <x:c r="G27" s="122" t="str">
        <x:v>UNCHANGED</x:v>
      </x:c>
      <x:c r="H27" s="84" t="str">
        <x:v>None</x:v>
      </x:c>
      <x:c r="I27" s="84" t="str">
        <x:v>Actual forward choice remains available.</x:v>
      </x:c>
      <x:c r="J27" s="84" t="str">
        <x:v>Actual path preserved</x:v>
      </x:c>
      <x:c r="K27" s="84" t="str">
        <x:v>S13</x:v>
      </x:c>
    </x:row>
    <x:row r="28">
      <x:c r="A28" s="84" t="n">
        <x:v>51</x:v>
      </x:c>
      <x:c r="B28" s="84" t="str">
        <x:v>New Orleans Pelicans</x:v>
      </x:c>
      <x:c r="C28" s="84" t="str">
        <x:v>Tony Carr</x:v>
      </x:c>
      <x:c r="D28" s="84" t="str">
        <x:v>Own pick</x:v>
      </x:c>
      <x:c r="E28" s="84" t="str">
        <x:v>New Orleans Pelicans</x:v>
      </x:c>
      <x:c r="F28" s="84" t="str">
        <x:v>Tony Carr</x:v>
      </x:c>
      <x:c r="G28" s="122" t="str">
        <x:v>UNCHANGED</x:v>
      </x:c>
      <x:c r="H28" s="84" t="str">
        <x:v>None</x:v>
      </x:c>
      <x:c r="I28" s="84" t="str">
        <x:v>Guard-development choice remains distinct.</x:v>
      </x:c>
      <x:c r="J28" s="84" t="str">
        <x:v>Actual path preserved</x:v>
      </x:c>
      <x:c r="K28" s="84" t="str">
        <x:v>S13</x:v>
      </x:c>
    </x:row>
    <x:row r="29">
      <x:c r="A29" s="84" t="n">
        <x:v>52</x:v>
      </x:c>
      <x:c r="B29" s="84" t="str">
        <x:v>Houston Rockets</x:v>
      </x:c>
      <x:c r="C29" s="84" t="str">
        <x:v>Vincent Edwards</x:v>
      </x:c>
      <x:c r="D29" s="84" t="str">
        <x:v>Rights from UTA</x:v>
      </x:c>
      <x:c r="E29" s="84" t="str">
        <x:v>Houston Rockets</x:v>
      </x:c>
      <x:c r="F29" s="84" t="str">
        <x:v>Vincent Edwards</x:v>
      </x:c>
      <x:c r="G29" s="122" t="str">
        <x:v>UNCHANGED</x:v>
      </x:c>
      <x:c r="H29" s="84" t="str">
        <x:v>None</x:v>
      </x:c>
      <x:c r="I29" s="84" t="str">
        <x:v>Wing-development choice remains distinct.</x:v>
      </x:c>
      <x:c r="J29" s="84" t="str">
        <x:v>Actual path preserved</x:v>
      </x:c>
      <x:c r="K29" s="84" t="str">
        <x:v>S13</x:v>
      </x:c>
    </x:row>
    <x:row r="30">
      <x:c r="A30" s="84" t="n">
        <x:v>53</x:v>
      </x:c>
      <x:c r="B30" s="84" t="str">
        <x:v>Oklahoma City Thunder</x:v>
      </x:c>
      <x:c r="C30" s="84" t="str">
        <x:v>Devon Hall</x:v>
      </x:c>
      <x:c r="D30" s="84" t="str">
        <x:v>Own pick</x:v>
      </x:c>
      <x:c r="E30" s="84" t="str">
        <x:v>Oklahoma City Thunder</x:v>
      </x:c>
      <x:c r="F30" s="84" t="str">
        <x:v>Devon Hall</x:v>
      </x:c>
      <x:c r="G30" s="122" t="str">
        <x:v>UNCHANGED</x:v>
      </x:c>
      <x:c r="H30" s="84" t="str">
        <x:v>None</x:v>
      </x:c>
      <x:c r="I30" s="84" t="str">
        <x:v>Perimeter/stash route remains distinct.</x:v>
      </x:c>
      <x:c r="J30" s="84" t="str">
        <x:v>Actual path preserved</x:v>
      </x:c>
      <x:c r="K30" s="84" t="str">
        <x:v>S13</x:v>
      </x:c>
    </x:row>
    <x:row r="31">
      <x:c r="A31" s="84" t="n">
        <x:v>54</x:v>
      </x:c>
      <x:c r="B31" s="84" t="str">
        <x:v>Philadelphia 76ers</x:v>
      </x:c>
      <x:c r="C31" s="84" t="str">
        <x:v>Shake Milton</x:v>
      </x:c>
      <x:c r="D31" s="84" t="str">
        <x:v>Rights from DAL</x:v>
      </x:c>
      <x:c r="E31" s="84" t="str">
        <x:v>Philadelphia 76ers</x:v>
      </x:c>
      <x:c r="F31" s="84" t="str">
        <x:v>Shake Milton</x:v>
      </x:c>
      <x:c r="G31" s="122" t="str">
        <x:v>UNCHANGED</x:v>
      </x:c>
      <x:c r="H31" s="84" t="str">
        <x:v>None</x:v>
      </x:c>
      <x:c r="I31" s="84" t="str">
        <x:v>Guard target and trade structure remain intact.</x:v>
      </x:c>
      <x:c r="J31" s="84" t="str">
        <x:v>Actual path preserved</x:v>
      </x:c>
      <x:c r="K31" s="84" t="str">
        <x:v>S13</x:v>
      </x:c>
    </x:row>
    <x:row r="32">
      <x:c r="A32" s="84" t="n">
        <x:v>55</x:v>
      </x:c>
      <x:c r="B32" s="84" t="str">
        <x:v>Charlotte Hornets</x:v>
      </x:c>
      <x:c r="C32" s="84" t="str">
        <x:v>Arnoldas Kulboka</x:v>
      </x:c>
      <x:c r="D32" s="84" t="str">
        <x:v>Own pick; overseas stash</x:v>
      </x:c>
      <x:c r="E32" s="84" t="str">
        <x:v>Charlotte Hornets</x:v>
      </x:c>
      <x:c r="F32" s="84" t="str">
        <x:v>Arnoldas Kulboka</x:v>
      </x:c>
      <x:c r="G32" s="122" t="str">
        <x:v>UNCHANGED</x:v>
      </x:c>
      <x:c r="H32" s="84" t="str">
        <x:v>None</x:v>
      </x:c>
      <x:c r="I32" s="84" t="str">
        <x:v>Overseas-stash route remains distinct.</x:v>
      </x:c>
      <x:c r="J32" s="84" t="str">
        <x:v>Actual path preserved</x:v>
      </x:c>
      <x:c r="K32" s="84" t="str">
        <x:v>S13</x:v>
      </x:c>
    </x:row>
    <x:row r="33">
      <x:c r="A33" s="86" t="n">
        <x:v>56</x:v>
      </x:c>
      <x:c r="B33" s="86" t="str">
        <x:v>Dallas Mavericks</x:v>
      </x:c>
      <x:c r="C33" s="86" t="str">
        <x:v>Ray Spalding</x:v>
      </x:c>
      <x:c r="D33" s="86" t="str">
        <x:v>Rights from PHI</x:v>
      </x:c>
      <x:c r="E33" s="86" t="str">
        <x:v>Dallas Mavericks</x:v>
      </x:c>
      <x:c r="F33" s="86" t="str">
        <x:v>Chimezie Metu</x:v>
      </x:c>
      <x:c r="G33" s="86" t="str">
        <x:v>CASCADE</x:v>
      </x:c>
      <x:c r="H33" s="86" t="str">
        <x:v>Metu</x:v>
      </x:c>
      <x:c r="I33" s="86" t="str">
        <x:v>Metu is the displaced #49 athletic big and remains above this slot.</x:v>
      </x:c>
      <x:c r="J33" s="86" t="str">
        <x:v>Dallas contract layer PASS; outcomes HOLD</x:v>
      </x:c>
      <x:c r="K33" s="86" t="str">
        <x:v>S13/S15/S28/S29/S30</x:v>
      </x:c>
    </x:row>
    <x:row r="34">
      <x:c r="A34" s="84" t="n">
        <x:v>57</x:v>
      </x:c>
      <x:c r="B34" s="84" t="str">
        <x:v>Oklahoma City Thunder</x:v>
      </x:c>
      <x:c r="C34" s="84" t="str">
        <x:v>Kevin Hervey</x:v>
      </x:c>
      <x:c r="D34" s="84" t="str">
        <x:v>Own pick</x:v>
      </x:c>
      <x:c r="E34" s="84" t="str">
        <x:v>Oklahoma City Thunder</x:v>
      </x:c>
      <x:c r="F34" s="84" t="str">
        <x:v>Kevin Hervey</x:v>
      </x:c>
      <x:c r="G34" s="122" t="str">
        <x:v>UNCHANGED</x:v>
      </x:c>
      <x:c r="H34" s="84" t="str">
        <x:v>None</x:v>
      </x:c>
      <x:c r="I34" s="84" t="str">
        <x:v>Actual forward choice remains available.</x:v>
      </x:c>
      <x:c r="J34" s="84" t="str">
        <x:v>Actual path preserved</x:v>
      </x:c>
      <x:c r="K34" s="84" t="str">
        <x:v>S13</x:v>
      </x:c>
    </x:row>
    <x:row r="35">
      <x:c r="A35" s="86" t="n">
        <x:v>58</x:v>
      </x:c>
      <x:c r="B35" s="86" t="str">
        <x:v>Denver Nuggets</x:v>
      </x:c>
      <x:c r="C35" s="86" t="str">
        <x:v>Thomas Welsh</x:v>
      </x:c>
      <x:c r="D35" s="86" t="str">
        <x:v>Own pick</x:v>
      </x:c>
      <x:c r="E35" s="86" t="str">
        <x:v>Denver Nuggets</x:v>
      </x:c>
      <x:c r="F35" s="86" t="str">
        <x:v>Ray Spalding</x:v>
      </x:c>
      <x:c r="G35" s="86" t="str">
        <x:v>CASCADE</x:v>
      </x:c>
      <x:c r="H35" s="86" t="str">
        <x:v>Spalding</x:v>
      </x:c>
      <x:c r="I35" s="86" t="str">
        <x:v>Spalding was graded in the drafted second-round big tier.</x:v>
      </x:c>
      <x:c r="J35" s="86" t="str">
        <x:v>Denver contract layer PASS; Welsh market HOLD</x:v>
      </x:c>
      <x:c r="K35" s="86" t="str">
        <x:v>S18/S31/S32/S33/S34</x:v>
      </x:c>
    </x:row>
    <x:row r="36">
      <x:c r="A36" s="84" t="n">
        <x:v>59</x:v>
      </x:c>
      <x:c r="B36" s="84" t="str">
        <x:v>Phoenix Suns</x:v>
      </x:c>
      <x:c r="C36" s="84" t="str">
        <x:v>George King</x:v>
      </x:c>
      <x:c r="D36" s="84" t="str">
        <x:v>Own pick</x:v>
      </x:c>
      <x:c r="E36" s="84" t="str">
        <x:v>Phoenix Suns</x:v>
      </x:c>
      <x:c r="F36" s="84" t="str">
        <x:v>George King</x:v>
      </x:c>
      <x:c r="G36" s="122" t="str">
        <x:v>UNCHANGED</x:v>
      </x:c>
      <x:c r="H36" s="84" t="str">
        <x:v>None</x:v>
      </x:c>
      <x:c r="I36" s="84" t="str">
        <x:v>Actual wing choice remains available.</x:v>
      </x:c>
      <x:c r="J36" s="84" t="str">
        <x:v>Actual path preserved</x:v>
      </x:c>
      <x:c r="K36" s="84" t="str">
        <x:v>S13</x:v>
      </x:c>
    </x:row>
    <x:row r="37">
      <x:c r="A37" s="84" t="n">
        <x:v>60</x:v>
      </x:c>
      <x:c r="B37" s="84" t="str">
        <x:v>Dallas Mavericks</x:v>
      </x:c>
      <x:c r="C37" s="84" t="str">
        <x:v>Kostas Antetokounmpo</x:v>
      </x:c>
      <x:c r="D37" s="84" t="str">
        <x:v>Rights from PHI</x:v>
      </x:c>
      <x:c r="E37" s="84" t="str">
        <x:v>Dallas Mavericks</x:v>
      </x:c>
      <x:c r="F37" s="84" t="str">
        <x:v>Kostas Antetokounmpo</x:v>
      </x:c>
      <x:c r="G37" s="122" t="str">
        <x:v>UNCHANGED</x:v>
      </x:c>
      <x:c r="H37" s="84" t="str">
        <x:v>None</x:v>
      </x:c>
      <x:c r="I37" s="84" t="str">
        <x:v>Second acquired pick and upside bet remain intact.</x:v>
      </x:c>
      <x:c r="J37" s="84" t="str">
        <x:v>Actual path preserved</x:v>
      </x:c>
      <x:c r="K37" s="84" t="str">
        <x:v>S13</x:v>
      </x:c>
    </x:row>
  </x:sheetData>
  <x:mergeCells>
    <x:mergeCell ref="A1:K2"/>
  </x:mergeCells>
  <x:pageMargins left="0.7" right="0.7" top="0.75" bottom="0.75" header="0.3" footer="0.3"/>
  <x:tableParts count="1">
    <x:tablePart xmlns:r="http://schemas.openxmlformats.org/officeDocument/2006/relationships" r:id="R571ec0bf8576405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7" hidden="0" customWidth="1"/>
    <x:col min="8" max="8" width="27" hidden="0" customWidth="1"/>
    <x:col min="9" max="9" width="16" hidden="0" customWidth="1"/>
    <x:col min="10" max="10" width="24" hidden="0" customWidth="1"/>
    <x:col min="11" max="11" width="22" hidden="0" customWidth="1"/>
    <x:col min="12" max="12" width="22" hidden="0" customWidth="1"/>
  </x:cols>
  <x:sheetData>
    <x:row r="1" ht="32" customHeight="1">
      <x:c r="A1" s="3" t="str">
        <x:v>SAN ANTONIO 2018-19 — SECOND-TEAM IMPACT FIREWALL</x:v>
      </x:c>
    </x:row>
    <x:row r="4">
      <x:c r="A4" s="123" t="str">
        <x:v>Actual Spurs</x:v>
      </x:c>
      <x:c r="B4" s="123" t="str">
        <x:v>48-34</x:v>
      </x:c>
      <x:c r="C4" s="123" t="str">
        <x:v>Metu NBA</x:v>
      </x:c>
      <x:c r="D4" s="123" t="str">
        <x:v>29 G / 145.4 MIN</x:v>
      </x:c>
      <x:c r="E4" s="123" t="str">
        <x:v>Metu Austin</x:v>
      </x:c>
      <x:c r="F4" s="123" t="str">
        <x:v>26 G / 710.4 MIN</x:v>
      </x:c>
      <x:c r="G4" s="123" t="str">
        <x:v>CF base</x:v>
      </x:c>
      <x:c r="H4" s="123" t="str">
        <x:v>29 G / 145.4 MIN</x:v>
      </x:c>
      <x:c r="I4" s="123" t="str">
        <x:v>ATL series</x:v>
      </x:c>
      <x:c r="J4" s="123" t="str">
        <x:v>2 G / 0 MIN</x:v>
      </x:c>
      <x:c r="K4" s="123" t="str">
        <x:v>Status</x:v>
      </x:c>
      <x:c r="L4" s="123" t="str">
        <x:v>BASELINE_ROLE_PASS</x:v>
      </x:c>
    </x:row>
    <x:row r="5">
      <x:c r="A5" s="124"/>
      <x:c r="B5" s="124"/>
      <x:c r="C5" s="124"/>
      <x:c r="D5" s="124"/>
      <x:c r="E5" s="124"/>
      <x:c r="F5" s="124"/>
      <x:c r="G5" s="124"/>
      <x:c r="H5" s="124"/>
      <x:c r="I5" s="124"/>
      <x:c r="J5" s="124"/>
      <x:c r="K5" s="124"/>
      <x:c r="L5" s="124"/>
    </x:row>
    <x:row r="6">
      <x:c r="A6" s="53" t="str">
        <x:v>Scenario</x:v>
      </x:c>
      <x:c r="B6" s="53" t="str">
        <x:v>NBA GP</x:v>
      </x:c>
      <x:c r="C6" s="53" t="str">
        <x:v>NBA MPG</x:v>
      </x:c>
      <x:c r="D6" s="53" t="str">
        <x:v>NBA MIN</x:v>
      </x:c>
      <x:c r="E6" s="53" t="str">
        <x:v>Starts</x:v>
      </x:c>
      <x:c r="F6" s="53" t="str">
        <x:v>Austin GP</x:v>
      </x:c>
      <x:c r="G6" s="53" t="str">
        <x:v>Result rule</x:v>
      </x:c>
      <x:c r="H6" s="53" t="str">
        <x:v>Required evidence</x:v>
      </x:c>
      <x:c r="I6" s="124"/>
      <x:c r="J6" s="124"/>
      <x:c r="K6" s="124"/>
      <x:c r="L6" s="124"/>
    </x:row>
    <x:row r="7">
      <x:c r="A7" s="125" t="str">
        <x:v>LOW</x:v>
      </x:c>
      <x:c r="B7" s="125" t="n">
        <x:v>24</x:v>
      </x:c>
      <x:c r="C7" s="125" t="n">
        <x:v>4</x:v>
      </x:c>
      <x:c r="D7" s="125" t="n">
        <x:v>120</x:v>
      </x:c>
      <x:c r="E7" s="125" t="n">
        <x:v>0</x:v>
      </x:c>
      <x:c r="F7" s="125" t="n">
        <x:v>28</x:v>
      </x:c>
      <x:c r="G7" s="125" t="str">
        <x:v>No automatic game changes</x:v>
      </x:c>
      <x:c r="H7" s="125" t="str">
        <x:v>Stay inside Metu/deep-reserve slot</x:v>
      </x:c>
      <x:c r="I7" s="124"/>
      <x:c r="J7" s="124"/>
      <x:c r="K7" s="124"/>
      <x:c r="L7" s="124"/>
    </x:row>
    <x:row r="8">
      <x:c r="A8" s="125" t="str">
        <x:v>BASE</x:v>
      </x:c>
      <x:c r="B8" s="125" t="n">
        <x:v>29</x:v>
      </x:c>
      <x:c r="C8" s="125" t="n">
        <x:v>5</x:v>
      </x:c>
      <x:c r="D8" s="125" t="n">
        <x:v>145.4</x:v>
      </x:c>
      <x:c r="E8" s="125" t="n">
        <x:v>0</x:v>
      </x:c>
      <x:c r="F8" s="125" t="n">
        <x:v>26</x:v>
      </x:c>
      <x:c r="G8" s="125" t="str">
        <x:v>No automatic game changes</x:v>
      </x:c>
      <x:c r="H8" s="125" t="str">
        <x:v>Metu actual role baseline</x:v>
      </x:c>
      <x:c r="I8" s="124"/>
      <x:c r="J8" s="124"/>
      <x:c r="K8" s="124"/>
      <x:c r="L8" s="124"/>
    </x:row>
    <x:row r="9">
      <x:c r="A9" s="125" t="str">
        <x:v>HIGH</x:v>
      </x:c>
      <x:c r="B9" s="125" t="n">
        <x:v>31</x:v>
      </x:c>
      <x:c r="C9" s="125" t="n">
        <x:v>6</x:v>
      </x:c>
      <x:c r="D9" s="125" t="n">
        <x:v>180</x:v>
      </x:c>
      <x:c r="E9" s="125" t="n">
        <x:v>0</x:v>
      </x:c>
      <x:c r="F9" s="125" t="n">
        <x:v>20</x:v>
      </x:c>
      <x:c r="G9" s="125" t="str">
        <x:v>GAME_REVIEW if competitive</x:v>
      </x:c>
      <x:c r="H9" s="125" t="str">
        <x:v>Dated donor required above 145.4</x:v>
      </x:c>
      <x:c r="I9" s="124"/>
      <x:c r="J9" s="124"/>
      <x:c r="K9" s="124"/>
      <x:c r="L9" s="124"/>
    </x:row>
    <x:row r="10">
      <x:c r="A10" s="124"/>
      <x:c r="B10" s="124"/>
      <x:c r="C10" s="124"/>
      <x:c r="D10" s="124"/>
      <x:c r="E10" s="124"/>
      <x:c r="F10" s="124"/>
      <x:c r="G10" s="124"/>
      <x:c r="H10" s="124"/>
      <x:c r="I10" s="124"/>
      <x:c r="J10" s="124"/>
      <x:c r="K10" s="124"/>
      <x:c r="L10" s="124"/>
    </x:row>
    <x:row r="11">
      <x:c r="A11" s="53" t="str">
        <x:v>Date</x:v>
      </x:c>
      <x:c r="B11" s="53" t="str">
        <x:v>Site</x:v>
      </x:c>
      <x:c r="C11" s="53" t="str">
        <x:v>Opponent</x:v>
      </x:c>
      <x:c r="D11" s="53" t="str">
        <x:v>Actual</x:v>
      </x:c>
      <x:c r="E11" s="53" t="str">
        <x:v>SAS Pts</x:v>
      </x:c>
      <x:c r="F11" s="53" t="str">
        <x:v>ATL Pts</x:v>
      </x:c>
      <x:c r="G11" s="53" t="str">
        <x:v>Margin</x:v>
      </x:c>
      <x:c r="H11" s="53" t="str">
        <x:v>Metu roster</x:v>
      </x:c>
      <x:c r="I11" s="53" t="str">
        <x:v>Metu status</x:v>
      </x:c>
      <x:c r="J11" s="53" t="str">
        <x:v>Spurs-side CF contact</x:v>
      </x:c>
      <x:c r="K11" s="53" t="str">
        <x:v>Outcome status</x:v>
      </x:c>
      <x:c r="L11" s="53" t="str">
        <x:v>Source ID</x:v>
      </x:c>
    </x:row>
    <x:row r="12">
      <x:c r="A12" s="126" t="n">
        <x:v>43530.5</x:v>
      </x:c>
      <x:c r="B12" s="125" t="str">
        <x:v>A</x:v>
      </x:c>
      <x:c r="C12" s="125" t="str">
        <x:v>Atlanta Hawks</x:v>
      </x:c>
      <x:c r="D12" s="125" t="str">
        <x:v>W</x:v>
      </x:c>
      <x:c r="E12" s="125" t="n">
        <x:v>111</x:v>
      </x:c>
      <x:c r="F12" s="125" t="n">
        <x:v>104</x:v>
      </x:c>
      <x:c r="G12" s="125" t="n">
        <x:v>7</x:v>
      </x:c>
      <x:c r="H12" s="125" t="str">
        <x:v>NBA roster</x:v>
      </x:c>
      <x:c r="I12" s="125" t="str">
        <x:v>DNP-CD / 0</x:v>
      </x:c>
      <x:c r="J12" s="125" t="str">
        <x:v>NO_DIRECT_MINUTES</x:v>
      </x:c>
      <x:c r="K12" s="125" t="str">
        <x:v>ATL-side execution HOLD</x:v>
      </x:c>
      <x:c r="L12" s="125" t="str">
        <x:v>S25</x:v>
      </x:c>
    </x:row>
    <x:row r="13">
      <x:c r="A13" s="126" t="n">
        <x:v>43557.5</x:v>
      </x:c>
      <x:c r="B13" s="125" t="str">
        <x:v>H</x:v>
      </x:c>
      <x:c r="C13" s="125" t="str">
        <x:v>Atlanta Hawks</x:v>
      </x:c>
      <x:c r="D13" s="125" t="str">
        <x:v>W</x:v>
      </x:c>
      <x:c r="E13" s="125" t="n">
        <x:v>117</x:v>
      </x:c>
      <x:c r="F13" s="125" t="n">
        <x:v>111</x:v>
      </x:c>
      <x:c r="G13" s="125" t="n">
        <x:v>6</x:v>
      </x:c>
      <x:c r="H13" s="125" t="str">
        <x:v>NBA roster</x:v>
      </x:c>
      <x:c r="I13" s="125" t="str">
        <x:v>Inactive/0</x:v>
      </x:c>
      <x:c r="J13" s="125" t="str">
        <x:v>NO_DIRECT_MINUTES</x:v>
      </x:c>
      <x:c r="K13" s="125" t="str">
        <x:v>ATL-side execution HOLD</x:v>
      </x:c>
      <x:c r="L13" s="125" t="str">
        <x:v>S26</x:v>
      </x:c>
    </x:row>
    <x:row r="14">
      <x:c r="A14" s="124"/>
      <x:c r="B14" s="124"/>
      <x:c r="C14" s="124"/>
      <x:c r="D14" s="124"/>
      <x:c r="E14" s="124"/>
      <x:c r="F14" s="124"/>
      <x:c r="G14" s="124"/>
      <x:c r="H14" s="124"/>
      <x:c r="I14" s="124"/>
      <x:c r="J14" s="124"/>
      <x:c r="K14" s="124"/>
      <x:c r="L14" s="124"/>
    </x:row>
    <x:row r="15">
      <x:c r="A15" s="53" t="str">
        <x:v>Window</x:v>
      </x:c>
      <x:c r="B15" s="53" t="str">
        <x:v>Assign date</x:v>
      </x:c>
      <x:c r="C15" s="53" t="str">
        <x:v>Recall date</x:v>
      </x:c>
      <x:c r="D15" s="53" t="str">
        <x:v>Calendar days</x:v>
      </x:c>
      <x:c r="E15" s="53" t="str">
        <x:v>Entry</x:v>
      </x:c>
      <x:c r="F15" s="53" t="str">
        <x:v>Exit</x:v>
      </x:c>
      <x:c r="G15" s="53" t="str">
        <x:v>Contract/status</x:v>
      </x:c>
      <x:c r="H15" s="53" t="str">
        <x:v>Source ID</x:v>
      </x:c>
      <x:c r="I15" s="124"/>
      <x:c r="J15" s="53" t="str">
        <x:v>Audit</x:v>
      </x:c>
      <x:c r="K15" s="53" t="str">
        <x:v>Value</x:v>
      </x:c>
      <x:c r="L15" s="53" t="str">
        <x:v>Check</x:v>
      </x:c>
    </x:row>
    <x:row r="16">
      <x:c r="A16" s="125" t="n">
        <x:v>1</x:v>
      </x:c>
      <x:c r="B16" s="126" t="n">
        <x:v>43398.5</x:v>
      </x:c>
      <x:c r="C16" s="126" t="n">
        <x:v>43400.5</x:v>
      </x:c>
      <x:c r="D16" s="125" t="n">
        <x:v>2</x:v>
      </x:c>
      <x:c r="E16" s="125" t="str">
        <x:v>Austin assignment</x:v>
      </x:c>
      <x:c r="F16" s="125" t="str">
        <x:v>Recall</x:v>
      </x:c>
      <x:c r="G16" s="125" t="str">
        <x:v>NBA contract retained</x:v>
      </x:c>
      <x:c r="H16" s="125" t="str">
        <x:v>S22</x:v>
      </x:c>
      <x:c r="I16" s="124"/>
      <x:c r="J16" s="125" t="str">
        <x:v>Assignment windows</x:v>
      </x:c>
      <x:c r="K16" s="125" t="n">
        <x:f>COUNTA(A16:A34)</x:f>
        <x:v>19</x:v>
      </x:c>
      <x:c r="L16" s="125" t="str">
        <x:f>IF(K16=19,"PASS","FAIL")</x:f>
        <x:v>PASS</x:v>
      </x:c>
    </x:row>
    <x:row r="17">
      <x:c r="A17" s="125" t="n">
        <x:v>2</x:v>
      </x:c>
      <x:c r="B17" s="126" t="n">
        <x:v>43409.5</x:v>
      </x:c>
      <x:c r="C17" s="126" t="n">
        <x:v>43409.5</x:v>
      </x:c>
      <x:c r="D17" s="125" t="n">
        <x:v>0</x:v>
      </x:c>
      <x:c r="E17" s="125" t="str">
        <x:v>Austin assignment</x:v>
      </x:c>
      <x:c r="F17" s="125" t="str">
        <x:v>Same-day recall</x:v>
      </x:c>
      <x:c r="G17" s="125" t="str">
        <x:v>NBA contract retained</x:v>
      </x:c>
      <x:c r="H17" s="125" t="str">
        <x:v>S22</x:v>
      </x:c>
      <x:c r="I17" s="124"/>
      <x:c r="J17" s="125" t="str">
        <x:v>Direct games</x:v>
      </x:c>
      <x:c r="K17" s="125" t="n">
        <x:f>COUNTA(A12:A13)</x:f>
        <x:v>2</x:v>
      </x:c>
      <x:c r="L17" s="125" t="str">
        <x:f>IF(K17=2,"PASS","FAIL")</x:f>
        <x:v>PASS</x:v>
      </x:c>
    </x:row>
    <x:row r="18">
      <x:c r="A18" s="125" t="n">
        <x:v>3</x:v>
      </x:c>
      <x:c r="B18" s="126" t="n">
        <x:v>43412.5</x:v>
      </x:c>
      <x:c r="C18" s="126" t="n">
        <x:v>43412.5</x:v>
      </x:c>
      <x:c r="D18" s="125" t="n">
        <x:v>0</x:v>
      </x:c>
      <x:c r="E18" s="125" t="str">
        <x:v>Austin assignment</x:v>
      </x:c>
      <x:c r="F18" s="125" t="str">
        <x:v>Same-day recall</x:v>
      </x:c>
      <x:c r="G18" s="125" t="str">
        <x:v>NBA contract retained</x:v>
      </x:c>
      <x:c r="H18" s="125" t="str">
        <x:v>S22</x:v>
      </x:c>
      <x:c r="I18" s="124"/>
      <x:c r="J18" s="125" t="str">
        <x:v>Direct Metu minutes</x:v>
      </x:c>
      <x:c r="K18" s="125" t="n">
        <x:f>0</x:f>
        <x:v>0</x:v>
      </x:c>
      <x:c r="L18" s="125" t="str">
        <x:f>IF(K18=0,"PASS","FAIL")</x:f>
        <x:v>PASS</x:v>
      </x:c>
    </x:row>
    <x:row r="19">
      <x:c r="A19" s="125" t="n">
        <x:v>4</x:v>
      </x:c>
      <x:c r="B19" s="126" t="n">
        <x:v>43424.5</x:v>
      </x:c>
      <x:c r="C19" s="126" t="n">
        <x:v>43425.5</x:v>
      </x:c>
      <x:c r="D19" s="125" t="n">
        <x:v>1</x:v>
      </x:c>
      <x:c r="E19" s="125" t="str">
        <x:v>Austin assignment</x:v>
      </x:c>
      <x:c r="F19" s="125" t="str">
        <x:v>Recall</x:v>
      </x:c>
      <x:c r="G19" s="125" t="str">
        <x:v>Second reported assignment</x:v>
      </x:c>
      <x:c r="H19" s="125" t="str">
        <x:v>S22/S24</x:v>
      </x:c>
      <x:c r="I19" s="124"/>
      <x:c r="J19" s="125" t="str">
        <x:v>Base minutes</x:v>
      </x:c>
      <x:c r="K19" s="125" t="n">
        <x:f>D8</x:f>
        <x:v>145.4</x:v>
      </x:c>
      <x:c r="L19" s="125" t="str">
        <x:f>IF(ABS(K19-145.4)&lt;0.01,"PASS","FAIL")</x:f>
        <x:v>PASS</x:v>
      </x:c>
    </x:row>
    <x:row r="20">
      <x:c r="A20" s="125" t="n">
        <x:v>5</x:v>
      </x:c>
      <x:c r="B20" s="126" t="n">
        <x:v>43435.5</x:v>
      </x:c>
      <x:c r="C20" s="126" t="n">
        <x:v>43436.5</x:v>
      </x:c>
      <x:c r="D20" s="125" t="n">
        <x:v>1</x:v>
      </x:c>
      <x:c r="E20" s="125" t="str">
        <x:v>Austin assignment</x:v>
      </x:c>
      <x:c r="F20" s="125" t="str">
        <x:v>Recall</x:v>
      </x:c>
      <x:c r="G20" s="125" t="str">
        <x:v>NBA contract retained</x:v>
      </x:c>
      <x:c r="H20" s="125" t="str">
        <x:v>S22</x:v>
      </x:c>
      <x:c r="I20" s="124"/>
      <x:c r="J20" s="125" t="str">
        <x:v>High-base excess</x:v>
      </x:c>
      <x:c r="K20" s="125" t="n">
        <x:f>D9-D8</x:f>
        <x:v>34.599999999999994</x:v>
      </x:c>
      <x:c r="L20" s="125" t="str">
        <x:f>IF(ABS(K20-34.6)&lt;0.01,"DONOR REQUIRED","CHECK")</x:f>
        <x:v>DONOR REQUIRED</x:v>
      </x:c>
    </x:row>
    <x:row r="21">
      <x:c r="A21" s="125" t="n">
        <x:v>6</x:v>
      </x:c>
      <x:c r="B21" s="126" t="n">
        <x:v>43442.5</x:v>
      </x:c>
      <x:c r="C21" s="126" t="n">
        <x:v>43443.5</x:v>
      </x:c>
      <x:c r="D21" s="125" t="n">
        <x:v>1</x:v>
      </x:c>
      <x:c r="E21" s="125" t="str">
        <x:v>Austin assignment</x:v>
      </x:c>
      <x:c r="F21" s="125" t="str">
        <x:v>Recall</x:v>
      </x:c>
      <x:c r="G21" s="125" t="str">
        <x:v>NBA contract retained</x:v>
      </x:c>
      <x:c r="H21" s="125" t="str">
        <x:v>S22</x:v>
      </x:c>
      <x:c r="I21" s="124"/>
      <x:c r="J21" s="125" t="str">
        <x:v>Outcome lock</x:v>
      </x:c>
      <x:c r="K21" s="125" t="str">
        <x:f>IF(K18=0,"SPURS-SIDE DIRECT PASS","REVIEW")</x:f>
        <x:v>SPURS-SIDE DIRECT PASS</x:v>
      </x:c>
      <x:c r="L21" s="125" t="str">
        <x:f>IF(K21="SPURS-SIDE DIRECT PASS","PASS","HOLD")</x:f>
        <x:v>PASS</x:v>
      </x:c>
    </x:row>
    <x:row r="22">
      <x:c r="A22" s="125" t="n">
        <x:v>7</x:v>
      </x:c>
      <x:c r="B22" s="126" t="n">
        <x:v>43448.5</x:v>
      </x:c>
      <x:c r="C22" s="126" t="n">
        <x:v>43457.5</x:v>
      </x:c>
      <x:c r="D22" s="125" t="n">
        <x:v>9</x:v>
      </x:c>
      <x:c r="E22" s="125" t="str">
        <x:v>Austin assignment</x:v>
      </x:c>
      <x:c r="F22" s="125" t="str">
        <x:v>Recall</x:v>
      </x:c>
      <x:c r="G22" s="125" t="str">
        <x:v>Development window</x:v>
      </x:c>
      <x:c r="H22" s="125" t="str">
        <x:v>S22</x:v>
      </x:c>
      <x:c r="I22" s="124"/>
      <x:c r="J22" s="124"/>
      <x:c r="K22" s="124"/>
      <x:c r="L22" s="124"/>
    </x:row>
    <x:row r="23">
      <x:c r="A23" s="125" t="n">
        <x:v>8</x:v>
      </x:c>
      <x:c r="B23" s="126" t="n">
        <x:v>43461.5</x:v>
      </x:c>
      <x:c r="C23" s="126" t="n">
        <x:v>43468.5</x:v>
      </x:c>
      <x:c r="D23" s="125" t="n">
        <x:v>7</x:v>
      </x:c>
      <x:c r="E23" s="125" t="str">
        <x:v>Austin assignment</x:v>
      </x:c>
      <x:c r="F23" s="125" t="str">
        <x:v>Recall</x:v>
      </x:c>
      <x:c r="G23" s="125" t="str">
        <x:v>Development window</x:v>
      </x:c>
      <x:c r="H23" s="125" t="str">
        <x:v>S22</x:v>
      </x:c>
      <x:c r="I23" s="124"/>
      <x:c r="J23" s="119" t="str">
        <x:v>48-34 remains BASELINE, not a locked counterfactual result. Atlanta-side player impact is still HOLD.</x:v>
      </x:c>
      <x:c r="K23" s="119"/>
      <x:c r="L23" s="119"/>
    </x:row>
    <x:row r="24">
      <x:c r="A24" s="125" t="n">
        <x:v>9</x:v>
      </x:c>
      <x:c r="B24" s="126" t="n">
        <x:v>43470.5</x:v>
      </x:c>
      <x:c r="C24" s="126" t="n">
        <x:v>43470.5</x:v>
      </x:c>
      <x:c r="D24" s="125" t="n">
        <x:v>0</x:v>
      </x:c>
      <x:c r="E24" s="125" t="str">
        <x:v>Austin assignment</x:v>
      </x:c>
      <x:c r="F24" s="125" t="str">
        <x:v>Same-day recall</x:v>
      </x:c>
      <x:c r="G24" s="125" t="str">
        <x:v>NBA contract retained</x:v>
      </x:c>
      <x:c r="H24" s="125" t="str">
        <x:v>S22</x:v>
      </x:c>
      <x:c r="I24" s="124"/>
      <x:c r="J24" s="124"/>
      <x:c r="K24" s="124"/>
      <x:c r="L24" s="124"/>
    </x:row>
    <x:row r="25">
      <x:c r="A25" s="125" t="n">
        <x:v>10</x:v>
      </x:c>
      <x:c r="B25" s="126" t="n">
        <x:v>43472.5</x:v>
      </x:c>
      <x:c r="C25" s="126" t="n">
        <x:v>43482.5</x:v>
      </x:c>
      <x:c r="D25" s="125" t="n">
        <x:v>10</x:v>
      </x:c>
      <x:c r="E25" s="125" t="str">
        <x:v>Austin assignment</x:v>
      </x:c>
      <x:c r="F25" s="125" t="str">
        <x:v>Recall</x:v>
      </x:c>
      <x:c r="G25" s="125" t="str">
        <x:v>Development window</x:v>
      </x:c>
      <x:c r="H25" s="125" t="str">
        <x:v>S22</x:v>
      </x:c>
      <x:c r="I25" s="124"/>
      <x:c r="J25" s="124"/>
      <x:c r="K25" s="124"/>
      <x:c r="L25" s="124"/>
    </x:row>
    <x:row r="26">
      <x:c r="A26" s="125" t="n">
        <x:v>11</x:v>
      </x:c>
      <x:c r="B26" s="126" t="n">
        <x:v>43484.5</x:v>
      </x:c>
      <x:c r="C26" s="126" t="n">
        <x:v>43485.5</x:v>
      </x:c>
      <x:c r="D26" s="125" t="n">
        <x:v>1</x:v>
      </x:c>
      <x:c r="E26" s="125" t="str">
        <x:v>Austin assignment</x:v>
      </x:c>
      <x:c r="F26" s="125" t="str">
        <x:v>Recall</x:v>
      </x:c>
      <x:c r="G26" s="125" t="str">
        <x:v>NBA contract retained</x:v>
      </x:c>
      <x:c r="H26" s="125" t="str">
        <x:v>S22</x:v>
      </x:c>
      <x:c r="I26" s="124"/>
      <x:c r="J26" s="124"/>
      <x:c r="K26" s="124"/>
      <x:c r="L26" s="124"/>
    </x:row>
    <x:row r="27">
      <x:c r="A27" s="125" t="n">
        <x:v>12</x:v>
      </x:c>
      <x:c r="B27" s="126" t="n">
        <x:v>43490.5</x:v>
      </x:c>
      <x:c r="C27" s="126" t="n">
        <x:v>43491.5</x:v>
      </x:c>
      <x:c r="D27" s="125" t="n">
        <x:v>1</x:v>
      </x:c>
      <x:c r="E27" s="125" t="str">
        <x:v>Austin assignment</x:v>
      </x:c>
      <x:c r="F27" s="125" t="str">
        <x:v>Recall</x:v>
      </x:c>
      <x:c r="G27" s="125" t="str">
        <x:v>NBA contract retained</x:v>
      </x:c>
      <x:c r="H27" s="125" t="str">
        <x:v>S22</x:v>
      </x:c>
      <x:c r="I27" s="124"/>
      <x:c r="J27" s="124"/>
      <x:c r="K27" s="124"/>
      <x:c r="L27" s="124"/>
    </x:row>
    <x:row r="28">
      <x:c r="A28" s="125" t="n">
        <x:v>13</x:v>
      </x:c>
      <x:c r="B28" s="126" t="n">
        <x:v>43497.5</x:v>
      </x:c>
      <x:c r="C28" s="126" t="n">
        <x:v>43498.5</x:v>
      </x:c>
      <x:c r="D28" s="125" t="n">
        <x:v>1</x:v>
      </x:c>
      <x:c r="E28" s="125" t="str">
        <x:v>Austin assignment</x:v>
      </x:c>
      <x:c r="F28" s="125" t="str">
        <x:v>Recall</x:v>
      </x:c>
      <x:c r="G28" s="125" t="str">
        <x:v>NBA contract retained</x:v>
      </x:c>
      <x:c r="H28" s="125" t="str">
        <x:v>S22</x:v>
      </x:c>
      <x:c r="I28" s="124"/>
      <x:c r="J28" s="124"/>
      <x:c r="K28" s="124"/>
      <x:c r="L28" s="124"/>
    </x:row>
    <x:row r="29">
      <x:c r="A29" s="125" t="n">
        <x:v>14</x:v>
      </x:c>
      <x:c r="B29" s="126" t="n">
        <x:v>43506.5</x:v>
      </x:c>
      <x:c r="C29" s="126" t="n">
        <x:v>43507.5</x:v>
      </x:c>
      <x:c r="D29" s="125" t="n">
        <x:v>1</x:v>
      </x:c>
      <x:c r="E29" s="125" t="str">
        <x:v>Austin assignment</x:v>
      </x:c>
      <x:c r="F29" s="125" t="str">
        <x:v>Recall</x:v>
      </x:c>
      <x:c r="G29" s="125" t="str">
        <x:v>NBA contract retained</x:v>
      </x:c>
      <x:c r="H29" s="125" t="str">
        <x:v>S22</x:v>
      </x:c>
      <x:c r="I29" s="124"/>
      <x:c r="J29" s="124"/>
      <x:c r="K29" s="124"/>
      <x:c r="L29" s="124"/>
    </x:row>
    <x:row r="30">
      <x:c r="A30" s="125" t="n">
        <x:v>15</x:v>
      </x:c>
      <x:c r="B30" s="126" t="n">
        <x:v>43524.5</x:v>
      </x:c>
      <x:c r="C30" s="126" t="n">
        <x:v>43525.5</x:v>
      </x:c>
      <x:c r="D30" s="125" t="n">
        <x:v>1</x:v>
      </x:c>
      <x:c r="E30" s="125" t="str">
        <x:v>Austin assignment</x:v>
      </x:c>
      <x:c r="F30" s="125" t="str">
        <x:v>Recall</x:v>
      </x:c>
      <x:c r="G30" s="125" t="str">
        <x:v>NBA contract retained</x:v>
      </x:c>
      <x:c r="H30" s="125" t="str">
        <x:v>S22</x:v>
      </x:c>
      <x:c r="I30" s="124"/>
      <x:c r="J30" s="124"/>
      <x:c r="K30" s="124"/>
      <x:c r="L30" s="124"/>
    </x:row>
    <x:row r="31">
      <x:c r="A31" s="125" t="n">
        <x:v>16</x:v>
      </x:c>
      <x:c r="B31" s="126" t="n">
        <x:v>43531.5</x:v>
      </x:c>
      <x:c r="C31" s="126" t="n">
        <x:v>43534.5</x:v>
      </x:c>
      <x:c r="D31" s="125" t="n">
        <x:v>3</x:v>
      </x:c>
      <x:c r="E31" s="125" t="str">
        <x:v>Austin assignment</x:v>
      </x:c>
      <x:c r="F31" s="125" t="str">
        <x:v>Recall</x:v>
      </x:c>
      <x:c r="G31" s="125" t="str">
        <x:v>After Atlanta game</x:v>
      </x:c>
      <x:c r="H31" s="125" t="str">
        <x:v>S22</x:v>
      </x:c>
      <x:c r="I31" s="124"/>
      <x:c r="J31" s="124"/>
      <x:c r="K31" s="124"/>
      <x:c r="L31" s="124"/>
    </x:row>
    <x:row r="32">
      <x:c r="A32" s="125" t="n">
        <x:v>17</x:v>
      </x:c>
      <x:c r="B32" s="126" t="n">
        <x:v>43537.5</x:v>
      </x:c>
      <x:c r="C32" s="126" t="n">
        <x:v>43539.5</x:v>
      </x:c>
      <x:c r="D32" s="125" t="n">
        <x:v>2</x:v>
      </x:c>
      <x:c r="E32" s="125" t="str">
        <x:v>Austin assignment</x:v>
      </x:c>
      <x:c r="F32" s="125" t="str">
        <x:v>Recall</x:v>
      </x:c>
      <x:c r="G32" s="125" t="str">
        <x:v>NBA contract retained</x:v>
      </x:c>
      <x:c r="H32" s="125" t="str">
        <x:v>S22</x:v>
      </x:c>
      <x:c r="I32" s="124"/>
      <x:c r="J32" s="124"/>
      <x:c r="K32" s="124"/>
      <x:c r="L32" s="124"/>
    </x:row>
    <x:row r="33">
      <x:c r="A33" s="125" t="n">
        <x:v>18</x:v>
      </x:c>
      <x:c r="B33" s="126" t="n">
        <x:v>43543.5</x:v>
      </x:c>
      <x:c r="C33" s="126" t="n">
        <x:v>43544.5</x:v>
      </x:c>
      <x:c r="D33" s="125" t="n">
        <x:v>1</x:v>
      </x:c>
      <x:c r="E33" s="125" t="str">
        <x:v>Austin assignment</x:v>
      </x:c>
      <x:c r="F33" s="125" t="str">
        <x:v>Recall</x:v>
      </x:c>
      <x:c r="G33" s="125" t="str">
        <x:v>NBA contract retained</x:v>
      </x:c>
      <x:c r="H33" s="125" t="str">
        <x:v>S22</x:v>
      </x:c>
      <x:c r="I33" s="124"/>
      <x:c r="J33" s="124"/>
      <x:c r="K33" s="124"/>
      <x:c r="L33" s="124"/>
    </x:row>
    <x:row r="34">
      <x:c r="A34" s="125" t="n">
        <x:v>19</x:v>
      </x:c>
      <x:c r="B34" s="126" t="n">
        <x:v>43545.5</x:v>
      </x:c>
      <x:c r="C34" s="126" t="n">
        <x:v>43548.5</x:v>
      </x:c>
      <x:c r="D34" s="125" t="n">
        <x:v>3</x:v>
      </x:c>
      <x:c r="E34" s="125" t="str">
        <x:v>Austin assignment</x:v>
      </x:c>
      <x:c r="F34" s="125" t="str">
        <x:v>Recall</x:v>
      </x:c>
      <x:c r="G34" s="125" t="str">
        <x:v>Final logged window</x:v>
      </x:c>
      <x:c r="H34" s="125" t="str">
        <x:v>S22</x:v>
      </x:c>
      <x:c r="I34" s="124"/>
      <x:c r="J34" s="124"/>
      <x:c r="K34" s="124"/>
      <x:c r="L34" s="124"/>
    </x:row>
  </x:sheetData>
  <x:mergeCells>
    <x:mergeCell ref="A1:L2"/>
    <x:mergeCell ref="J23:L23"/>
  </x:mergeCells>
  <x:pageMargins left="0.7" right="0.7" top="0.75" bottom="0.75" header="0.3" footer="0.3"/>
  <x:tableParts count="1">
    <x:tablePart xmlns:r="http://schemas.openxmlformats.org/officeDocument/2006/relationships" r:id="R2e14e3aa64804ee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23" hidden="0" customWidth="1"/>
    <x:col min="4" max="4" width="16" hidden="0" customWidth="1"/>
    <x:col min="5" max="5" width="25" hidden="0" customWidth="1"/>
    <x:col min="6" max="6" width="25" hidden="0" customWidth="1"/>
    <x:col min="7" max="7" width="16" hidden="0" customWidth="1"/>
    <x:col min="8" max="8" width="16" hidden="0" customWidth="1"/>
    <x:col min="9" max="9" width="16" hidden="0" customWidth="1"/>
    <x:col min="10" max="10" width="25" hidden="0" customWidth="1"/>
    <x:col min="11" max="11" width="26" hidden="0" customWidth="1"/>
    <x:col min="12" max="12" width="46" hidden="0" customWidth="1"/>
    <x:col min="13" max="13" width="18" hidden="0" customWidth="1"/>
  </x:cols>
  <x:sheetData>
    <x:row r="1" ht="32" customHeight="1">
      <x:c r="A1" s="3" t="str">
        <x:v>DALLAS / DENVER 2018-19 — CASCADE CONTRACT FIREWALL</x:v>
      </x:c>
    </x:row>
    <x:row r="4">
      <x:c r="A4" s="123" t="str">
        <x:v>Dallas base</x:v>
      </x:c>
      <x:c r="B4" s="123" t="str">
        <x:v>1 G / 1 MIN</x:v>
      </x:c>
      <x:c r="C4" s="123"/>
      <x:c r="D4" s="123" t="str">
        <x:v>Texas</x:v>
      </x:c>
      <x:c r="E4" s="123" t="str">
        <x:v>29 G / 30.1 MPG</x:v>
      </x:c>
      <x:c r="F4" s="123"/>
      <x:c r="G4" s="123" t="str">
        <x:v>Denver base</x:v>
      </x:c>
      <x:c r="H4" s="123" t="str">
        <x:v>11 G / 36 MIN</x:v>
      </x:c>
      <x:c r="I4" s="123"/>
      <x:c r="J4" s="123" t="str">
        <x:v>ATL series</x:v>
      </x:c>
      <x:c r="K4" s="123" t="str">
        <x:v>4 G / 0 MIN</x:v>
      </x:c>
      <x:c r="L4" s="123" t="str">
        <x:v>Status</x:v>
      </x:c>
      <x:c r="M4" s="123" t="str">
        <x:v>CONTRACT_LAYER_PASS</x:v>
      </x:c>
    </x:row>
    <x:row r="5">
      <x:c r="A5" s="124"/>
      <x:c r="B5" s="124"/>
      <x:c r="C5" s="124"/>
      <x:c r="D5" s="124"/>
      <x:c r="E5" s="124"/>
      <x:c r="F5" s="124"/>
      <x:c r="G5" s="124"/>
      <x:c r="H5" s="124"/>
      <x:c r="I5" s="124"/>
      <x:c r="J5" s="124"/>
      <x:c r="K5" s="124"/>
      <x:c r="L5" s="124"/>
      <x:c r="M5" s="124"/>
    </x:row>
    <x:row r="6">
      <x:c r="A6" s="53" t="str">
        <x:v>Team</x:v>
      </x:c>
      <x:c r="B6" s="53" t="str">
        <x:v>World</x:v>
      </x:c>
      <x:c r="C6" s="53" t="str">
        <x:v>Player</x:v>
      </x:c>
      <x:c r="D6" s="53" t="str">
        <x:v>Pick</x:v>
      </x:c>
      <x:c r="E6" s="53" t="str">
        <x:v>Contract layer</x:v>
      </x:c>
      <x:c r="F6" s="53" t="str">
        <x:v>Development path</x:v>
      </x:c>
      <x:c r="G6" s="53" t="str">
        <x:v>NBA GP</x:v>
      </x:c>
      <x:c r="H6" s="53" t="str">
        <x:v>NBA MIN</x:v>
      </x:c>
      <x:c r="I6" s="53" t="str">
        <x:v>G League GP</x:v>
      </x:c>
      <x:c r="J6" s="53" t="str">
        <x:v>Transaction</x:v>
      </x:c>
      <x:c r="K6" s="53" t="str">
        <x:v>Role status</x:v>
      </x:c>
      <x:c r="L6" s="53" t="str">
        <x:v>Escalation trigger</x:v>
      </x:c>
      <x:c r="M6" s="53" t="str">
        <x:v>Source ID</x:v>
      </x:c>
    </x:row>
    <x:row r="7">
      <x:c r="A7" s="93" t="str">
        <x:v>Dallas</x:v>
      </x:c>
      <x:c r="B7" s="93" t="str">
        <x:v>ACTUAL</x:v>
      </x:c>
      <x:c r="C7" s="93" t="str">
        <x:v>Ray Spalding</x:v>
      </x:c>
      <x:c r="D7" s="93" t="n">
        <x:v>56</x:v>
      </x:c>
      <x:c r="E7" s="93" t="str">
        <x:v>Standard NBA</x:v>
      </x:c>
      <x:c r="F7" s="93" t="str">
        <x:v>Texas assignment</x:v>
      </x:c>
      <x:c r="G7" s="93" t="n">
        <x:v>1</x:v>
      </x:c>
      <x:c r="H7" s="93" t="n">
        <x:v>1</x:v>
      </x:c>
      <x:c r="I7" s="93" t="n">
        <x:v>29</x:v>
      </x:c>
      <x:c r="J7" s="93" t="str">
        <x:v>Waived 2019-01-31</x:v>
      </x:c>
      <x:c r="K7" s="93" t="str">
        <x:v>ACTUAL_REPLACED</x:v>
      </x:c>
      <x:c r="L7" s="93" t="str">
        <x:v>Reference only</x:v>
      </x:c>
      <x:c r="M7" s="93" t="str">
        <x:v>S28/S29/S30</x:v>
      </x:c>
    </x:row>
    <x:row r="8">
      <x:c r="A8" s="93" t="str">
        <x:v>Dallas</x:v>
      </x:c>
      <x:c r="B8" s="93" t="str">
        <x:v>CF</x:v>
      </x:c>
      <x:c r="C8" s="93" t="str">
        <x:v>Chimezie Metu</x:v>
      </x:c>
      <x:c r="D8" s="93" t="n">
        <x:v>56</x:v>
      </x:c>
      <x:c r="E8" s="93" t="str">
        <x:v>Standard NBA layer</x:v>
      </x:c>
      <x:c r="F8" s="93" t="str">
        <x:v>Texas assignment baseline</x:v>
      </x:c>
      <x:c r="G8" s="93" t="n">
        <x:v>1</x:v>
      </x:c>
      <x:c r="H8" s="93" t="n">
        <x:v>1</x:v>
      </x:c>
      <x:c r="I8" s="93" t="n">
        <x:v>29</x:v>
      </x:c>
      <x:c r="J8" s="93" t="str">
        <x:v>Jan. 31 waiver choice HOLD</x:v>
      </x:c>
      <x:c r="K8" s="93" t="str">
        <x:v>CF_CHANGED_STANDARD</x:v>
      </x:c>
      <x:c r="L8" s="93" t="str">
        <x:v>&gt;1 NBA MIN or a different waiver opens Dallas player-game review</x:v>
      </x:c>
      <x:c r="M8" s="93" t="str">
        <x:v>S28/S29/S30</x:v>
      </x:c>
    </x:row>
    <x:row r="9">
      <x:c r="A9" s="93" t="str">
        <x:v>Denver</x:v>
      </x:c>
      <x:c r="B9" s="93" t="str">
        <x:v>ACTUAL</x:v>
      </x:c>
      <x:c r="C9" s="93" t="str">
        <x:v>Thomas Welsh</x:v>
      </x:c>
      <x:c r="D9" s="93" t="n">
        <x:v>58</x:v>
      </x:c>
      <x:c r="E9" s="93" t="str">
        <x:v>Two-way</x:v>
      </x:c>
      <x:c r="F9" s="93" t="str">
        <x:v>Capital City / Iowa</x:v>
      </x:c>
      <x:c r="G9" s="93" t="n">
        <x:v>11</x:v>
      </x:c>
      <x:c r="H9" s="93" t="n">
        <x:v>36</x:v>
      </x:c>
      <x:c r="I9" s="93" t="n">
        <x:v>20</x:v>
      </x:c>
      <x:c r="J9" s="93" t="str">
        <x:v>Two-way ended 2019-07-30</x:v>
      </x:c>
      <x:c r="K9" s="93" t="str">
        <x:v>ACTUAL_REPLACED</x:v>
      </x:c>
      <x:c r="L9" s="93" t="str">
        <x:v>Reference only</x:v>
      </x:c>
      <x:c r="M9" s="93" t="str">
        <x:v>S31/S34/S35</x:v>
      </x:c>
    </x:row>
    <x:row r="10">
      <x:c r="A10" s="93" t="str">
        <x:v>Denver</x:v>
      </x:c>
      <x:c r="B10" s="93" t="str">
        <x:v>CF</x:v>
      </x:c>
      <x:c r="C10" s="93" t="str">
        <x:v>Ray Spalding</x:v>
      </x:c>
      <x:c r="D10" s="93" t="n">
        <x:v>58</x:v>
      </x:c>
      <x:c r="E10" s="93" t="str">
        <x:v>Two-way (Welsh slot)</x:v>
      </x:c>
      <x:c r="F10" s="93" t="str">
        <x:v>External G League assignment class</x:v>
      </x:c>
      <x:c r="G10" s="93" t="n">
        <x:v>11</x:v>
      </x:c>
      <x:c r="H10" s="93" t="n">
        <x:v>36</x:v>
      </x:c>
      <x:c r="I10" s="93" t="n">
        <x:v>20</x:v>
      </x:c>
      <x:c r="J10" s="93" t="str">
        <x:v>Season role baseline</x:v>
      </x:c>
      <x:c r="K10" s="93" t="str">
        <x:v>CF_CHANGED_TWO_WAY</x:v>
      </x:c>
      <x:c r="L10" s="93" t="str">
        <x:v>&gt;36 NBA MIN or different dates opens Denver player-game review</x:v>
      </x:c>
      <x:c r="M10" s="93" t="str">
        <x:v>S31/S32/S33/S34</x:v>
      </x:c>
    </x:row>
    <x:row r="11">
      <x:c r="A11" s="93" t="str">
        <x:v>Denver</x:v>
      </x:c>
      <x:c r="B11" s="93" t="str">
        <x:v>CF</x:v>
      </x:c>
      <x:c r="C11" s="93" t="str">
        <x:v>DeVaughn Akoon-Purcell</x:v>
      </x:c>
      <x:c r="D11" s="93"/>
      <x:c r="E11" s="93" t="str">
        <x:v>Two-way</x:v>
      </x:c>
      <x:c r="F11" s="93" t="str">
        <x:v>G League development</x:v>
      </x:c>
      <x:c r="G11" s="93"/>
      <x:c r="H11" s="93"/>
      <x:c r="I11" s="93"/>
      <x:c r="J11" s="93" t="str">
        <x:v>Actual second slot preserved</x:v>
      </x:c>
      <x:c r="K11" s="93" t="str">
        <x:v>CF_PROTECTED_TWO_WAY</x:v>
      </x:c>
      <x:c r="L11" s="93" t="str">
        <x:v>Do not displace without a new transaction cause</x:v>
      </x:c>
      <x:c r="M11" s="93" t="str">
        <x:v>S32/S33</x:v>
      </x:c>
    </x:row>
    <x:row r="12">
      <x:c r="A12" s="93" t="str">
        <x:v>Denver</x:v>
      </x:c>
      <x:c r="B12" s="93" t="str">
        <x:v>CF</x:v>
      </x:c>
      <x:c r="C12" s="93" t="str">
        <x:v>Thomas Welsh</x:v>
      </x:c>
      <x:c r="D12" s="93"/>
      <x:c r="E12" s="93" t="str">
        <x:v>No Denver slot</x:v>
      </x:c>
      <x:c r="F12" s="93" t="str">
        <x:v>Undrafted free-agent market</x:v>
      </x:c>
      <x:c r="G12" s="93" t="n">
        <x:v>0</x:v>
      </x:c>
      <x:c r="H12" s="93" t="n">
        <x:v>0</x:v>
      </x:c>
      <x:c r="I12" s="93" t="n">
        <x:v>0</x:v>
      </x:c>
      <x:c r="J12" s="93" t="str">
        <x:v>Destination unresolved</x:v>
      </x:c>
      <x:c r="K12" s="93" t="str">
        <x:v>CF_OUT_NO_SLOT</x:v>
      </x:c>
      <x:c r="L12" s="93" t="str">
        <x:v>Any NBA signing creates a new team-impact branch</x:v>
      </x:c>
      <x:c r="M12" s="93" t="str">
        <x:v>S31/S32/S33/S35</x:v>
      </x:c>
    </x:row>
    <x:row r="13">
      <x:c r="A13" s="124"/>
      <x:c r="B13" s="124"/>
      <x:c r="C13" s="124"/>
      <x:c r="D13" s="124"/>
      <x:c r="E13" s="124"/>
      <x:c r="F13" s="124"/>
      <x:c r="G13" s="124"/>
      <x:c r="H13" s="124"/>
      <x:c r="I13" s="124"/>
      <x:c r="J13" s="124"/>
      <x:c r="K13" s="124"/>
      <x:c r="L13" s="124"/>
      <x:c r="M13" s="124"/>
    </x:row>
    <x:row r="14">
      <x:c r="A14" s="124"/>
      <x:c r="B14" s="124"/>
      <x:c r="C14" s="124"/>
      <x:c r="D14" s="124"/>
      <x:c r="E14" s="124"/>
      <x:c r="F14" s="124"/>
      <x:c r="G14" s="124"/>
      <x:c r="H14" s="124"/>
      <x:c r="I14" s="124"/>
      <x:c r="J14" s="124"/>
      <x:c r="K14" s="124"/>
      <x:c r="L14" s="124"/>
      <x:c r="M14" s="124"/>
    </x:row>
    <x:row r="15">
      <x:c r="A15" s="53" t="str">
        <x:v>Team</x:v>
      </x:c>
      <x:c r="B15" s="53" t="str">
        <x:v>Date</x:v>
      </x:c>
      <x:c r="C15" s="53" t="str">
        <x:v>Site</x:v>
      </x:c>
      <x:c r="D15" s="53" t="str">
        <x:v>Actual</x:v>
      </x:c>
      <x:c r="E15" s="53" t="str">
        <x:v>Team pts</x:v>
      </x:c>
      <x:c r="F15" s="53" t="str">
        <x:v>ATL pts</x:v>
      </x:c>
      <x:c r="G15" s="53" t="str">
        <x:v>Margin</x:v>
      </x:c>
      <x:c r="H15" s="53" t="str">
        <x:v>Replaced player</x:v>
      </x:c>
      <x:c r="I15" s="53" t="str">
        <x:v>Replaced MIN</x:v>
      </x:c>
      <x:c r="J15" s="53" t="str">
        <x:v>CF contact</x:v>
      </x:c>
      <x:c r="K15" s="53" t="str">
        <x:v>Outcome status</x:v>
      </x:c>
      <x:c r="L15" s="53" t="str">
        <x:v>Source ID</x:v>
      </x:c>
      <x:c r="M15" s="124"/>
    </x:row>
    <x:row r="16">
      <x:c r="A16" s="125" t="str">
        <x:v>Dallas</x:v>
      </x:c>
      <x:c r="B16" s="126" t="n">
        <x:v>43397.5</x:v>
      </x:c>
      <x:c r="C16" s="125" t="str">
        <x:v>A</x:v>
      </x:c>
      <x:c r="D16" s="125" t="str">
        <x:v>L</x:v>
      </x:c>
      <x:c r="E16" s="125" t="n">
        <x:v>104</x:v>
      </x:c>
      <x:c r="F16" s="125" t="n">
        <x:v>111</x:v>
      </x:c>
      <x:c r="G16" s="125" t="n">
        <x:v>-7</x:v>
      </x:c>
      <x:c r="H16" s="125" t="str">
        <x:v>Ray Spalding</x:v>
      </x:c>
      <x:c r="I16" s="125" t="n">
        <x:v>0</x:v>
      </x:c>
      <x:c r="J16" s="125" t="str">
        <x:v>NO_DIRECT_MINUTES</x:v>
      </x:c>
      <x:c r="K16" s="125" t="str">
        <x:v>ATL-side execution HOLD</x:v>
      </x:c>
      <x:c r="L16" s="125" t="str">
        <x:v>S10/S29</x:v>
      </x:c>
      <x:c r="M16" s="124"/>
    </x:row>
    <x:row r="17">
      <x:c r="A17" s="125" t="str">
        <x:v>Dallas</x:v>
      </x:c>
      <x:c r="B17" s="126" t="n">
        <x:v>43446.5</x:v>
      </x:c>
      <x:c r="C17" s="125" t="str">
        <x:v>H</x:v>
      </x:c>
      <x:c r="D17" s="125" t="str">
        <x:v>W</x:v>
      </x:c>
      <x:c r="E17" s="125" t="n">
        <x:v>114</x:v>
      </x:c>
      <x:c r="F17" s="125" t="n">
        <x:v>107</x:v>
      </x:c>
      <x:c r="G17" s="125" t="n">
        <x:v>7</x:v>
      </x:c>
      <x:c r="H17" s="125" t="str">
        <x:v>Ray Spalding</x:v>
      </x:c>
      <x:c r="I17" s="125" t="n">
        <x:v>0</x:v>
      </x:c>
      <x:c r="J17" s="125" t="str">
        <x:v>NO_DIRECT_MINUTES</x:v>
      </x:c>
      <x:c r="K17" s="125" t="str">
        <x:v>ATL-side execution HOLD</x:v>
      </x:c>
      <x:c r="L17" s="125" t="str">
        <x:v>S11/S29</x:v>
      </x:c>
      <x:c r="M17" s="124"/>
    </x:row>
    <x:row r="18">
      <x:c r="A18" s="125" t="str">
        <x:v>Denver</x:v>
      </x:c>
      <x:c r="B18" s="126" t="n">
        <x:v>43419.5</x:v>
      </x:c>
      <x:c r="C18" s="125" t="str">
        <x:v>H</x:v>
      </x:c>
      <x:c r="D18" s="125" t="str">
        <x:v>W</x:v>
      </x:c>
      <x:c r="E18" s="125" t="n">
        <x:v>138</x:v>
      </x:c>
      <x:c r="F18" s="125" t="n">
        <x:v>93</x:v>
      </x:c>
      <x:c r="G18" s="125" t="n">
        <x:v>45</x:v>
      </x:c>
      <x:c r="H18" s="125" t="str">
        <x:v>Thomas Welsh</x:v>
      </x:c>
      <x:c r="I18" s="125" t="n">
        <x:v>0</x:v>
      </x:c>
      <x:c r="J18" s="125" t="str">
        <x:v>NO_DIRECT_MINUTES</x:v>
      </x:c>
      <x:c r="K18" s="125" t="str">
        <x:v>ATL-side execution HOLD</x:v>
      </x:c>
      <x:c r="L18" s="125" t="str">
        <x:v>S36/S37</x:v>
      </x:c>
      <x:c r="M18" s="124"/>
    </x:row>
    <x:row r="19">
      <x:c r="A19" s="125" t="str">
        <x:v>Denver</x:v>
      </x:c>
      <x:c r="B19" s="126" t="n">
        <x:v>43442.5</x:v>
      </x:c>
      <x:c r="C19" s="125" t="str">
        <x:v>A</x:v>
      </x:c>
      <x:c r="D19" s="125" t="str">
        <x:v>L</x:v>
      </x:c>
      <x:c r="E19" s="125" t="n">
        <x:v>98</x:v>
      </x:c>
      <x:c r="F19" s="125" t="n">
        <x:v>106</x:v>
      </x:c>
      <x:c r="G19" s="125" t="n">
        <x:v>-8</x:v>
      </x:c>
      <x:c r="H19" s="125" t="str">
        <x:v>Thomas Welsh</x:v>
      </x:c>
      <x:c r="I19" s="125" t="n">
        <x:v>0</x:v>
      </x:c>
      <x:c r="J19" s="125" t="str">
        <x:v>NO_DIRECT_MINUTES</x:v>
      </x:c>
      <x:c r="K19" s="125" t="str">
        <x:v>ATL-side execution HOLD</x:v>
      </x:c>
      <x:c r="L19" s="125" t="str">
        <x:v>S38/S39</x:v>
      </x:c>
      <x:c r="M19" s="124"/>
    </x:row>
    <x:row r="20">
      <x:c r="A20" s="124"/>
      <x:c r="B20" s="124"/>
      <x:c r="C20" s="124"/>
      <x:c r="D20" s="124"/>
      <x:c r="E20" s="124"/>
      <x:c r="F20" s="124"/>
      <x:c r="G20" s="124"/>
      <x:c r="H20" s="124"/>
      <x:c r="I20" s="124"/>
      <x:c r="J20" s="124"/>
      <x:c r="K20" s="124"/>
      <x:c r="L20" s="124"/>
      <x:c r="M20" s="124"/>
    </x:row>
    <x:row r="21">
      <x:c r="A21" s="119" t="str">
        <x:v>Dallas: Metu begins inside Spalding's standard-contract / Texas assignment slot; a different Jan. 31 waiver choice remains HOLD. Denver: Spalding takes Welsh's two-way slot, Akoon-Purcell keeps the other, and Welsh moves to the undrafted free-agent market. Any minutes above the displaced-player base reopen player-game review.</x:v>
      </x:c>
      <x:c r="B21" s="119"/>
      <x:c r="C21" s="119"/>
      <x:c r="D21" s="119"/>
      <x:c r="E21" s="119"/>
      <x:c r="F21" s="119"/>
      <x:c r="G21" s="119"/>
      <x:c r="H21" s="119"/>
      <x:c r="I21" s="124"/>
      <x:c r="J21" s="53" t="str">
        <x:v>Audit</x:v>
      </x:c>
      <x:c r="K21" s="53" t="str">
        <x:v>Value</x:v>
      </x:c>
      <x:c r="L21" s="53" t="str">
        <x:v>Check</x:v>
      </x:c>
      <x:c r="M21" s="124"/>
    </x:row>
    <x:row r="22">
      <x:c r="A22" s="119"/>
      <x:c r="B22" s="119"/>
      <x:c r="C22" s="119"/>
      <x:c r="D22" s="119"/>
      <x:c r="E22" s="119"/>
      <x:c r="F22" s="119"/>
      <x:c r="G22" s="119"/>
      <x:c r="H22" s="119"/>
      <x:c r="I22" s="124"/>
      <x:c r="J22" s="125" t="str">
        <x:v>Changed contract chains</x:v>
      </x:c>
      <x:c r="K22" s="125" t="n">
        <x:f>COUNTIF(K7:K12,"CF_CHANGED_STANDARD")+COUNTIF(K7:K12,"CF_CHANGED_TWO_WAY")</x:f>
        <x:v>2</x:v>
      </x:c>
      <x:c r="L22" s="125" t="str">
        <x:f>IF(K22=2,"PASS","FAIL")</x:f>
        <x:v>PASS</x:v>
      </x:c>
      <x:c r="M22" s="124"/>
    </x:row>
    <x:row r="23">
      <x:c r="A23" s="119"/>
      <x:c r="B23" s="119"/>
      <x:c r="C23" s="119"/>
      <x:c r="D23" s="119"/>
      <x:c r="E23" s="119"/>
      <x:c r="F23" s="119"/>
      <x:c r="G23" s="119"/>
      <x:c r="H23" s="119"/>
      <x:c r="I23" s="124"/>
      <x:c r="J23" s="125" t="str">
        <x:v>Direct games</x:v>
      </x:c>
      <x:c r="K23" s="125" t="n">
        <x:f>COUNTA(A16:A19)</x:f>
        <x:v>4</x:v>
      </x:c>
      <x:c r="L23" s="125" t="str">
        <x:f>IF(K23=4,"PASS","FAIL")</x:f>
        <x:v>PASS</x:v>
      </x:c>
      <x:c r="M23" s="124"/>
    </x:row>
    <x:row r="24">
      <x:c r="A24" s="124"/>
      <x:c r="B24" s="124"/>
      <x:c r="C24" s="124"/>
      <x:c r="D24" s="124"/>
      <x:c r="E24" s="124"/>
      <x:c r="F24" s="124"/>
      <x:c r="G24" s="124"/>
      <x:c r="H24" s="124"/>
      <x:c r="I24" s="124"/>
      <x:c r="J24" s="125" t="str">
        <x:v>Direct replaced minutes</x:v>
      </x:c>
      <x:c r="K24" s="125" t="n">
        <x:f>SUM(I16:I19)</x:f>
        <x:v>0</x:v>
      </x:c>
      <x:c r="L24" s="125" t="str">
        <x:f>IF(K24=0,"PASS","REVIEW")</x:f>
        <x:v>PASS</x:v>
      </x:c>
      <x:c r="M24" s="124"/>
    </x:row>
    <x:row r="25">
      <x:c r="A25" s="124"/>
      <x:c r="B25" s="124"/>
      <x:c r="C25" s="124"/>
      <x:c r="D25" s="124"/>
      <x:c r="E25" s="124"/>
      <x:c r="F25" s="124"/>
      <x:c r="G25" s="124"/>
      <x:c r="H25" s="124"/>
      <x:c r="I25" s="124"/>
      <x:c r="J25" s="125" t="str">
        <x:v>Denver CF two-way slots</x:v>
      </x:c>
      <x:c r="K25" s="125" t="n">
        <x:f>COUNTIF(K7:K12,"CF_CHANGED_TWO_WAY")+COUNTIF(K7:K12,"CF_PROTECTED_TWO_WAY")</x:f>
        <x:v>2</x:v>
      </x:c>
      <x:c r="L25" s="125" t="str">
        <x:f>IF(K25=2,"PASS","FAIL")</x:f>
        <x:v>PASS</x:v>
      </x:c>
      <x:c r="M25" s="124"/>
    </x:row>
    <x:row r="26">
      <x:c r="A26" s="124"/>
      <x:c r="B26" s="124"/>
      <x:c r="C26" s="124"/>
      <x:c r="D26" s="124"/>
      <x:c r="E26" s="124"/>
      <x:c r="F26" s="124"/>
      <x:c r="G26" s="124"/>
      <x:c r="H26" s="124"/>
      <x:c r="I26" s="124"/>
      <x:c r="J26" s="125" t="str">
        <x:v>Welsh duplicate blocked</x:v>
      </x:c>
      <x:c r="K26" s="125" t="n">
        <x:f>COUNTIF(K7:K12,"CF_OUT_NO_SLOT")</x:f>
        <x:v>1</x:v>
      </x:c>
      <x:c r="L26" s="125" t="str">
        <x:f>IF(K26=1,"PASS","FAIL")</x:f>
        <x:v>PASS</x:v>
      </x:c>
      <x:c r="M26" s="124"/>
    </x:row>
    <x:row r="27">
      <x:c r="A27" s="124"/>
      <x:c r="B27" s="124"/>
      <x:c r="C27" s="124"/>
      <x:c r="D27" s="124"/>
      <x:c r="E27" s="124"/>
      <x:c r="F27" s="124"/>
      <x:c r="G27" s="124"/>
      <x:c r="H27" s="124"/>
      <x:c r="I27" s="124"/>
      <x:c r="J27" s="125" t="str">
        <x:v>Outcome lock</x:v>
      </x:c>
      <x:c r="K27" s="125" t="str">
        <x:f>IF(AND(K24=0,K25=2,K26=1),"CASCADE DIRECT PASS","REVIEW")</x:f>
        <x:v>CASCADE DIRECT PASS</x:v>
      </x:c>
      <x:c r="L27" s="125" t="str">
        <x:f>IF(K27="CASCADE DIRECT PASS","PASS","HOLD")</x:f>
        <x:v>PASS</x:v>
      </x:c>
      <x:c r="M27" s="124"/>
    </x:row>
  </x:sheetData>
  <x:mergeCells>
    <x:mergeCell ref="A1:M2"/>
    <x:mergeCell ref="A21:H23"/>
  </x:mergeCells>
  <x:pageMargins left="0.7" right="0.7" top="0.75" bottom="0.75" header="0.3" footer="0.3"/>
  <x:tableParts count="2">
    <x:tablePart xmlns:r="http://schemas.openxmlformats.org/officeDocument/2006/relationships" r:id="R486d61d64c2043b7"/>
    <x:tablePart xmlns:r="http://schemas.openxmlformats.org/officeDocument/2006/relationships" r:id="Recda3b2e947e4d6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22" hidden="0" customWidth="1"/>
    <x:col min="9" max="9" width="22" hidden="0" customWidth="1"/>
    <x:col min="10" max="10" width="17" hidden="0" customWidth="1"/>
  </x:cols>
  <x:sheetData>
    <x:row r="1" ht="32" customHeight="1">
      <x:c r="A1" s="3" t="str">
        <x:v>2019 DRAFT BRIDGE — ACTUAL BASELINE, NOT A LOCKED OUTCOME</x:v>
      </x:c>
    </x:row>
    <x:row r="4">
      <x:c r="A4" s="11" t="str">
        <x:v>Team/Pick</x:v>
      </x:c>
      <x:c r="B4" s="11" t="str">
        <x:v>Actual W</x:v>
      </x:c>
      <x:c r="C4" s="11" t="str">
        <x:v>Actual L</x:v>
      </x:c>
      <x:c r="D4" s="11" t="str">
        <x:v>Pre-lottery slot</x:v>
      </x:c>
      <x:c r="E4" s="11" t="str">
        <x:v>No.1 odds</x:v>
      </x:c>
      <x:c r="F4" s="11" t="str">
        <x:v>Top-4 odds</x:v>
      </x:c>
      <x:c r="G4" s="11" t="str">
        <x:v>Actual draw</x:v>
      </x:c>
      <x:c r="H4" s="11" t="str">
        <x:v>Protection</x:v>
      </x:c>
      <x:c r="I4" s="11" t="str">
        <x:v>Actual disposition</x:v>
      </x:c>
      <x:c r="J4" s="11" t="str">
        <x:v>Status</x:v>
      </x:c>
    </x:row>
    <x:row r="5">
      <x:c r="A5" s="17" t="str">
        <x:v>Atlanta own</x:v>
      </x:c>
      <x:c r="B5" s="17" t="n">
        <x:v>29</x:v>
      </x:c>
      <x:c r="C5" s="17" t="n">
        <x:v>53</x:v>
      </x:c>
      <x:c r="D5" s="17" t="n">
        <x:v>5</x:v>
      </x:c>
      <x:c r="E5" s="104" t="n">
        <x:v>0.105</x:v>
      </x:c>
      <x:c r="F5" s="104" t="n">
        <x:v>0.4212</x:v>
      </x:c>
      <x:c r="G5" s="17" t="n">
        <x:v>8</x:v>
      </x:c>
      <x:c r="H5" s="17" t="str">
        <x:v>None</x:v>
      </x:c>
      <x:c r="I5" s="17" t="str">
        <x:v>Atlanta #8</x:v>
      </x:c>
      <x:c r="J5" s="17" t="str">
        <x:v>BASELINE_ONLY</x:v>
      </x:c>
    </x:row>
    <x:row r="6">
      <x:c r="A6" s="17" t="str">
        <x:v>Dallas → Atlanta</x:v>
      </x:c>
      <x:c r="B6" s="17" t="n">
        <x:v>33</x:v>
      </x:c>
      <x:c r="C6" s="17" t="n">
        <x:v>49</x:v>
      </x:c>
      <x:c r="D6" s="17" t="n">
        <x:v>9</x:v>
      </x:c>
      <x:c r="E6" s="104" t="n">
        <x:v>0.06</x:v>
      </x:c>
      <x:c r="F6" s="104" t="n">
        <x:v>0.263</x:v>
      </x:c>
      <x:c r="G6" s="17" t="n">
        <x:v>10</x:v>
      </x:c>
      <x:c r="H6" s="17" t="str">
        <x:v>2019 Top 5</x:v>
      </x:c>
      <x:c r="I6" s="17" t="str">
        <x:v>Conveyed to Atlanta</x:v>
      </x:c>
      <x:c r="J6" s="17" t="str">
        <x:v>BASELINE_ONLY</x:v>
      </x:c>
    </x:row>
    <x:row r="8">
      <x:c r="A8" s="6" t="str">
        <x:v>SENSITIVITY EXAMPLE — flip only the 2018-12-12 Dallas 114-107 Atlanta game (not a canon result)</x:v>
      </x:c>
      <x:c r="B8" s="6"/>
      <x:c r="C8" s="6"/>
      <x:c r="D8" s="6"/>
      <x:c r="E8" s="6"/>
      <x:c r="F8" s="6"/>
      <x:c r="G8" s="6"/>
      <x:c r="H8" s="6"/>
      <x:c r="I8" s="6"/>
      <x:c r="J8" s="6"/>
    </x:row>
    <x:row r="9">
      <x:c r="A9" s="17" t="str">
        <x:v>Atlanta</x:v>
      </x:c>
      <x:c r="B9" s="17" t="n">
        <x:v>30</x:v>
      </x:c>
      <x:c r="C9" s="17" t="n">
        <x:v>52</x:v>
      </x:c>
      <x:c r="D9" s="17" t="str">
        <x:v>still near 5th inverse</x:v>
      </x:c>
      <x:c r="E9" s="17" t="str">
        <x:v>RECALCULATE</x:v>
      </x:c>
      <x:c r="F9" s="17" t="str">
        <x:v>RECALCULATE</x:v>
      </x:c>
      <x:c r="G9" s="17" t="str">
        <x:v>DO NOT COPY</x:v>
      </x:c>
      <x:c r="H9" s="17"/>
      <x:c r="I9" s="17"/>
      <x:c r="J9" s="17" t="str">
        <x:v>EXAMPLE</x:v>
      </x:c>
    </x:row>
    <x:row r="10">
      <x:c r="A10" s="17" t="str">
        <x:v>Dallas</x:v>
      </x:c>
      <x:c r="B10" s="17" t="n">
        <x:v>32</x:v>
      </x:c>
      <x:c r="C10" s="17" t="n">
        <x:v>50</x:v>
      </x:c>
      <x:c r="D10" s="17" t="str">
        <x:v>ties Washington</x:v>
      </x:c>
      <x:c r="E10" s="17" t="str">
        <x:v>RECALCULATE</x:v>
      </x:c>
      <x:c r="F10" s="17" t="str">
        <x:v>RECALCULATE</x:v>
      </x:c>
      <x:c r="G10" s="17" t="str">
        <x:v>DO NOT COPY</x:v>
      </x:c>
      <x:c r="H10" s="17" t="str">
        <x:v>Top 5 remains</x:v>
      </x:c>
      <x:c r="I10" s="17" t="str">
        <x:v>Convey/rollover unknown</x:v>
      </x:c>
      <x:c r="J10" s="17" t="str">
        <x:v>EXAMPLE</x:v>
      </x:c>
    </x:row>
    <x:row r="12" ht="36" customHeight="1">
      <x:c r="A12" s="24" t="str">
        <x:v>REQUIRED ORDER: both teams' W/L for every changed game → 14 non-playoff teams → tied combinations/order → fixed-seed lottery → Dallas protection → trades and selections</x:v>
      </x:c>
    </x:row>
    <x:row r="14">
      <x:c r="A14" s="128" t="str">
        <x:v>FINAL BLOCKER: Atlanta minutes and production/impact priors are balanced. Collect audited pregame pB and chronological player workload before standings/lottery.</x:v>
      </x:c>
    </x:row>
  </x:sheetData>
  <x:mergeCells>
    <x:mergeCell ref="A1:J2"/>
    <x:mergeCell ref="A8:J8"/>
    <x:mergeCell ref="A12:J12"/>
    <x:mergeCell ref="A14:J1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8" hidden="0" customWidth="1"/>
    <x:col min="4" max="4" width="20" hidden="0" customWidth="1"/>
    <x:col min="5" max="5" width="26" hidden="0" customWidth="1"/>
    <x:col min="6" max="6" width="26" hidden="0" customWidth="1"/>
  </x:cols>
  <x:sheetData>
    <x:row r="1" ht="32" customHeight="1">
      <x:c r="A1" s="3" t="str">
        <x:v>R09 AUDIT GATES</x:v>
      </x:c>
    </x:row>
    <x:row r="4">
      <x:c r="A4" s="11" t="str">
        <x:v>Gate</x:v>
      </x:c>
      <x:c r="B4" s="11" t="str">
        <x:v>Requirement</x:v>
      </x:c>
      <x:c r="C4" s="11" t="str">
        <x:v>Current evidence</x:v>
      </x:c>
      <x:c r="D4" s="11" t="str">
        <x:v>Status</x:v>
      </x:c>
      <x:c r="E4" s="11" t="str">
        <x:v>Blocks</x:v>
      </x:c>
      <x:c r="F4" s="11" t="str">
        <x:v>Next action</x:v>
      </x:c>
    </x:row>
    <x:row r="5">
      <x:c r="A5" s="84" t="str">
        <x:v>G0</x:v>
      </x:c>
      <x:c r="B5" s="84" t="str">
        <x:v>Changed-pick contract and direct-game baselines</x:v>
      </x:c>
      <x:c r="C5" s="84" t="str">
        <x:v>Spurs 145.4 min; Dallas 1 min; Denver 36 min; ATL series all 0</x:v>
      </x:c>
      <x:c r="D5" s="86" t="str">
        <x:v>PASS</x:v>
      </x:c>
      <x:c r="E5" s="84" t="str">
        <x:v>None</x:v>
      </x:c>
      <x:c r="F5" s="84" t="str">
        <x:v>Preserve team-specific caps and triggers</x:v>
      </x:c>
    </x:row>
    <x:row r="6">
      <x:c r="A6" s="84" t="str">
        <x:v>G1</x:v>
      </x:c>
      <x:c r="B6" s="84" t="str">
        <x:v>82 unique + 29-53 + score/OT checksum</x:v>
      </x:c>
      <x:c r="C6" s="84" t="str">
        <x:v>82 rows; 29-53; 9,294 pts; 19,855 game-min</x:v>
      </x:c>
      <x:c r="D6" s="86" t="str">
        <x:v>PASS</x:v>
      </x:c>
      <x:c r="E6" s="84" t="str">
        <x:v>None</x:v>
      </x:c>
      <x:c r="F6" s="84" t="str">
        <x:v>Preserve immutable baseline</x:v>
      </x:c>
    </x:row>
    <x:row r="7">
      <x:c r="A7" s="84" t="str">
        <x:v>G2</x:v>
      </x:c>
      <x:c r="B7" s="84" t="str">
        <x:v>Rotation/assignment/production method before results</x:v>
      </x:c>
      <x:c r="C7" s="84" t="str">
        <x:v>Date vector plus observed rates and shrinkage candidates</x:v>
      </x:c>
      <x:c r="D7" s="86" t="str">
        <x:v>PARTIAL</x:v>
      </x:c>
      <x:c r="E7" s="84" t="str">
        <x:v>CF result</x:v>
      </x:c>
      <x:c r="F7" s="84" t="str">
        <x:v>Calibrate parameters before outcome model</x:v>
      </x:c>
    </x:row>
    <x:row r="8">
      <x:c r="A8" s="84" t="str">
        <x:v>G3</x:v>
      </x:c>
      <x:c r="B8" s="84" t="str">
        <x:v>Every game minute-conserved; no NBA/Erie collision</x:v>
      </x:c>
      <x:c r="C8" s="84" t="str">
        <x:v>621.9 protagonist + 183.1 named receivers = 805.0; 29 dates; zero balance</x:v>
      </x:c>
      <x:c r="D8" s="86" t="str">
        <x:v>PASS</x:v>
      </x:c>
      <x:c r="E8" s="84" t="str">
        <x:v>None</x:v>
      </x:c>
      <x:c r="F8" s="84" t="str">
        <x:v>Preserve named receiver vector</x:v>
      </x:c>
    </x:row>
    <x:row r="9">
      <x:c r="A9" s="84" t="str">
        <x:v>G4</x:v>
      </x:c>
      <x:c r="B9" s="84" t="str">
        <x:v>All 82 games contact classified</x:v>
      </x:c>
      <x:c r="C9" s="84" t="str">
        <x:v>43 DIRECT / 39 ROSTER</x:v>
      </x:c>
      <x:c r="D9" s="86" t="str">
        <x:v>PASS</x:v>
      </x:c>
      <x:c r="E9" s="84" t="str">
        <x:v>None</x:v>
      </x:c>
      <x:c r="F9" s="84" t="str">
        <x:v>Upgrade CASCADE only with evidence</x:v>
      </x:c>
    </x:row>
    <x:row r="10">
      <x:c r="A10" s="84" t="str">
        <x:v>G5</x:v>
      </x:c>
      <x:c r="B10" s="84" t="str">
        <x:v>Pregame-only pB; fixed latent u; no manual flip</x:v>
      </x:c>
      <x:c r="C10" s="84" t="str">
        <x:v>event ID/hash encoding specified; k and pB absent</x:v>
      </x:c>
      <x:c r="D10" s="86" t="str">
        <x:v>PARTIAL</x:v>
      </x:c>
      <x:c r="E10" s="84" t="str">
        <x:v>CF result</x:v>
      </x:c>
      <x:c r="F10" s="84" t="str">
        <x:v>Calibrate k; define no-vig source/timestamp</x:v>
      </x:c>
    </x:row>
    <x:row r="11">
      <x:c r="A11" s="84" t="str">
        <x:v>G6</x:v>
      </x:c>
      <x:c r="B11" s="84" t="str">
        <x:v>Chronological injury/fatigue/trade updates</x:v>
      </x:c>
      <x:c r="C11" s="84" t="str">
        <x:v>Forward-only/no-auto-injury firewall; coefficients/workload absent</x:v>
      </x:c>
      <x:c r="D11" s="86" t="str">
        <x:v>PARTIAL</x:v>
      </x:c>
      <x:c r="E11" s="84" t="str">
        <x:v>CF result</x:v>
      </x:c>
      <x:c r="F11" s="84" t="str">
        <x:v>Calibrate function; build workload in date order</x:v>
      </x:c>
    </x:row>
    <x:row r="12">
      <x:c r="A12" s="84" t="str">
        <x:v>G7</x:v>
      </x:c>
      <x:c r="B12" s="84" t="str">
        <x:v>No exact score invention; sensitivity isolated</x:v>
      </x:c>
      <x:c r="C12" s="84" t="str">
        <x:v>No CF scores/results created</x:v>
      </x:c>
      <x:c r="D12" s="86" t="str">
        <x:v>PASS</x:v>
      </x:c>
      <x:c r="E12" s="84" t="str">
        <x:v>None</x:v>
      </x:c>
      <x:c r="F12" s="84" t="str">
        <x:v>Keep results HOLD until model</x:v>
      </x:c>
    </x:row>
    <x:row r="13">
      <x:c r="A13" s="84" t="str">
        <x:v>G8</x:v>
      </x:c>
      <x:c r="B13" s="84" t="str">
        <x:v>Opponent W/L + league standings/tiebreaker</x:v>
      </x:c>
      <x:c r="C13" s="84" t="str">
        <x:v>Not executed</x:v>
      </x:c>
      <x:c r="D13" s="86" t="str">
        <x:v>HOLD</x:v>
      </x:c>
      <x:c r="E13" s="84" t="str">
        <x:v>2019 lottery</x:v>
      </x:c>
      <x:c r="F13" s="84" t="str">
        <x:v>Build league bridge</x:v>
      </x:c>
    </x:row>
    <x:row r="14">
      <x:c r="A14" s="84" t="str">
        <x:v>G9</x:v>
      </x:c>
      <x:c r="B14" s="84" t="str">
        <x:v>Raw baseline immutable; run/model/seed logged</x:v>
      </x:c>
      <x:c r="C14" s="84" t="str">
        <x:v>Baseline + date vectors + prior manifest recorded</x:v>
      </x:c>
      <x:c r="D14" s="86" t="str">
        <x:v>PARTIAL</x:v>
      </x:c>
      <x:c r="E14" s="84" t="str">
        <x:v>Reproduction</x:v>
      </x:c>
      <x:c r="F14" s="84" t="str">
        <x:v>Add pB/workload hashes and outcome run manifest</x:v>
      </x:c>
    </x:row>
    <x:row r="15">
      <x:c r="A15" s="83"/>
      <x:c r="B15" s="83"/>
      <x:c r="C15" s="83"/>
      <x:c r="D15" s="83"/>
      <x:c r="E15" s="83"/>
      <x:c r="F15" s="83"/>
    </x:row>
    <x:row r="16">
      <x:c r="A16" s="79" t="str">
        <x:v>OVERALL</x:v>
      </x:c>
      <x:c r="B16" s="79" t="str">
        <x:v>PRIOR_METHOD_HOLD / OUTCOME_INPUTS_HOLD</x:v>
      </x:c>
      <x:c r="C16" s="79"/>
      <x:c r="D16" s="79"/>
      <x:c r="E16" s="79"/>
      <x:c r="F16" s="79" t="str">
        <x:v>Calibrate shrinkage, fatigue, and logit scale before pB/workload outcome execution</x:v>
      </x:c>
    </x:row>
  </x:sheetData>
  <x:mergeCells>
    <x:mergeCell ref="A1:F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5" hidden="0" customWidth="1"/>
    <x:col min="3" max="3" width="48" hidden="0" customWidth="1"/>
    <x:col min="4" max="4" width="80" hidden="0" customWidth="1"/>
  </x:cols>
  <x:sheetData>
    <x:row r="1" ht="32" customHeight="1">
      <x:c r="A1" s="3" t="str">
        <x:v>SOURCE REGISTER</x:v>
      </x:c>
    </x:row>
    <x:row r="4">
      <x:c r="A4" s="11" t="str">
        <x:v>ID</x:v>
      </x:c>
      <x:c r="B4" s="11" t="str">
        <x:v>Source</x:v>
      </x:c>
      <x:c r="C4" s="11" t="str">
        <x:v>Use</x:v>
      </x:c>
      <x:c r="D4" s="11" t="str">
        <x:v>URL</x:v>
      </x:c>
    </x:row>
    <x:row r="5">
      <x:c r="A5" s="84" t="str">
        <x:v>S01</x:v>
      </x:c>
      <x:c r="B5" s="84" t="str">
        <x:v>NBA Stats — Atlanta schedule</x:v>
      </x:c>
      <x:c r="C5" s="84" t="str">
        <x:v>82-game official schedule baseline</x:v>
      </x:c>
      <x:c r="D5" s="84" t="str">
        <x:v>https://www.nba.com/stats/team/1610612737/schedule?Season=2018-19</x:v>
      </x:c>
    </x:row>
    <x:row r="6">
      <x:c r="A6" s="84" t="str">
        <x:v>S02</x:v>
      </x:c>
      <x:c r="B6" s="84" t="str">
        <x:v>ESPN — Atlanta schedule</x:v>
      </x:c>
      <x:c r="C6" s="84" t="str">
        <x:v>Scores/order cross-check; timezone dates not authoritative</x:v>
      </x:c>
      <x:c r="D6" s="84" t="str">
        <x:v>https://www.espn.com/nba/team/schedule?name=ATL&amp;season=2019&amp;seasontype=2</x:v>
      </x:c>
    </x:row>
    <x:row r="7">
      <x:c r="A7" s="84" t="str">
        <x:v>S03</x:v>
      </x:c>
      <x:c r="B7" s="84" t="str">
        <x:v>Basketball-Reference — Atlanta schedule</x:v>
      </x:c>
      <x:c r="C7" s="84" t="str">
        <x:v>29-53 and game-log cross-check</x:v>
      </x:c>
      <x:c r="D7" s="84" t="str">
        <x:v>https://www.basketball-reference.com/teams/ATL/2019_games.html</x:v>
      </x:c>
    </x:row>
    <x:row r="8">
      <x:c r="A8" s="84" t="str">
        <x:v>S04</x:v>
      </x:c>
      <x:c r="B8" s="84" t="str">
        <x:v>NBA Stats — Atlanta player totals</x:v>
      </x:c>
      <x:c r="C8" s="84" t="str">
        <x:v>Roster GP/GS/minutes baseline</x:v>
      </x:c>
      <x:c r="D8" s="84" t="str">
        <x:v>https://www.nba.com/stats/players/traditional?Season=2018-19&amp;SeasonType=Regular%20Season&amp;TeamID=1610612737&amp;PerMode=Totals</x:v>
      </x:c>
    </x:row>
    <x:row r="9">
      <x:c r="A9" s="84" t="str">
        <x:v>S05</x:v>
      </x:c>
      <x:c r="B9" s="84" t="str">
        <x:v>Hawks — Spellman injury update</x:v>
      </x:c>
      <x:c r="C9" s="84" t="str">
        <x:v>March 1 high ankle sprain; not copied to protagonist</x:v>
      </x:c>
      <x:c r="D9" s="84" t="str">
        <x:v>https://www.nba.com/hawks/news/omari-spellman-injury-update</x:v>
      </x:c>
    </x:row>
    <x:row r="10">
      <x:c r="A10" s="84" t="str">
        <x:v>S06</x:v>
      </x:c>
      <x:c r="B10" s="84" t="str">
        <x:v>NBA G League — Spellman</x:v>
      </x:c>
      <x:c r="C10" s="84" t="str">
        <x:v>2018-19: 3 starts, 32.7 MPG</x:v>
      </x:c>
      <x:c r="D10" s="84" t="str">
        <x:v>https://gleague.nba.com/player/1629016</x:v>
      </x:c>
    </x:row>
    <x:row r="11">
      <x:c r="A11" s="84" t="str">
        <x:v>S07</x:v>
      </x:c>
      <x:c r="B11" s="84" t="str">
        <x:v>Hawks — 2019 lottery odds explained</x:v>
      </x:c>
      <x:c r="C11" s="84" t="str">
        <x:v>Atlanta/Dallas pick protection and odds baseline</x:v>
      </x:c>
      <x:c r="D11" s="84" t="str">
        <x:v>https://www.nba.com/hawks/features/hawks-lottery-odds-explained</x:v>
      </x:c>
    </x:row>
    <x:row r="12">
      <x:c r="A12" s="84" t="str">
        <x:v>S08</x:v>
      </x:c>
      <x:c r="B12" s="84" t="str">
        <x:v>NBA Communications — 2019 tiebreakers</x:v>
      </x:c>
      <x:c r="C12" s="84" t="str">
        <x:v>Lottery teams, inverse order, tied combinations</x:v>
      </x:c>
      <x:c r="D12" s="84" t="str">
        <x:v>https://pr.nba.com/2019-nba-draft-tiebreakers/</x:v>
      </x:c>
    </x:row>
    <x:row r="13">
      <x:c r="A13" s="84" t="str">
        <x:v>S09</x:v>
      </x:c>
      <x:c r="B13" s="84" t="str">
        <x:v>NBA — 2019 lottery result</x:v>
      </x:c>
      <x:c r="C13" s="84" t="str">
        <x:v>Actual draw baseline only</x:v>
      </x:c>
      <x:c r="D13" s="84" t="str">
        <x:v>https://www.nba.com/news/pelicans-win-nba-draft-lottery</x:v>
      </x:c>
    </x:row>
    <x:row r="14">
      <x:c r="A14" s="84" t="str">
        <x:v>S10</x:v>
      </x:c>
      <x:c r="B14" s="84" t="str">
        <x:v>Hawks — Oct. 24 Dallas game</x:v>
      </x:c>
      <x:c r="C14" s="84" t="str">
        <x:v>Atlanta 111-104 Dallas official game page</x:v>
      </x:c>
      <x:c r="D14" s="84" t="str">
        <x:v>https://www.nba.com/hawks/game/0021800052-mavericks-vs-hawks-atlanta-ga-10-24-2018</x:v>
      </x:c>
    </x:row>
    <x:row r="15">
      <x:c r="A15" s="84" t="str">
        <x:v>S11</x:v>
      </x:c>
      <x:c r="B15" s="84" t="str">
        <x:v>Mavericks — Dec. 12 Atlanta game</x:v>
      </x:c>
      <x:c r="C15" s="84" t="str">
        <x:v>Dallas 114-107 Atlanta official recap</x:v>
      </x:c>
      <x:c r="D15" s="84" t="str">
        <x:v>https://www.nba.com/mavs/mavs-get-a-spark-from-carlisle-and-rallied-for-a-114-107-victory-over-the-hawks</x:v>
      </x:c>
    </x:row>
    <x:row r="16">
      <x:c r="A16" s="84" t="str">
        <x:v>S12</x:v>
      </x:c>
      <x:c r="B16" s="84" t="str">
        <x:v>NBA — 2018 Atlanta draft</x:v>
      </x:c>
      <x:c r="C16" s="84" t="str">
        <x:v>Actual 30th pick was Spellman</x:v>
      </x:c>
      <x:c r="D16" s="84" t="str">
        <x:v>https://www.nba.com/hawks/news/hawks-acquire-trae-young-select-kevin-huerter-omari-spellman-2018-nba-draft</x:v>
      </x:c>
    </x:row>
    <x:row r="17">
      <x:c r="A17" s="84" t="str">
        <x:v>S13</x:v>
      </x:c>
      <x:c r="B17" s="84" t="str">
        <x:v>NBA — 2018 Draft Trade Tracker</x:v>
      </x:c>
      <x:c r="C17" s="84" t="str">
        <x:v>Actual picks, rights trades, and destination teams</x:v>
      </x:c>
      <x:c r="D17" s="84" t="str">
        <x:v>https://www.nba.com/2018-draft-trade-tracker</x:v>
      </x:c>
    </x:row>
    <x:row r="18">
      <x:c r="A18" s="84" t="str">
        <x:v>S14</x:v>
      </x:c>
      <x:c r="B18" s="84" t="str">
        <x:v>San Antonio Express-News — Spurs workout target</x:v>
      </x:c>
      <x:c r="C18" s="84" t="str">
        <x:v>Spellman worked out for Spurs; second workout interest</x:v>
      </x:c>
      <x:c r="D18" s="84" t="str">
        <x:v>https://www.expressnews.com/spurs-nation/article/Spurs-target-Villanova-s-Spellman-others-for-12994749.php</x:v>
      </x:c>
    </x:row>
    <x:row r="19">
      <x:c r="A19" s="84" t="str">
        <x:v>S15</x:v>
      </x:c>
      <x:c r="B19" s="84" t="str">
        <x:v>Sports Illustrated — final 2018 mock</x:v>
      </x:c>
      <x:c r="C19" s="84" t="str">
        <x:v>Spellman #44 range; Spurs fit; Metu second-round range</x:v>
      </x:c>
      <x:c r="D19" s="84" t="str">
        <x:v>https://www.si.com/nba/2018/06/21/nba-mock-draft-2018-trade-rumors-final-picks-deandre-ayton-trae-young</x:v>
      </x:c>
    </x:row>
    <x:row r="20">
      <x:c r="A20" s="84" t="str">
        <x:v>S16</x:v>
      </x:c>
      <x:c r="B20" s="84" t="str">
        <x:v>Wizards — Issuf Sanon plan</x:v>
      </x:c>
      <x:c r="C20" s="84" t="str">
        <x:v>Washington explicitly preferred an overseas stash</x:v>
      </x:c>
      <x:c r="D20" s="84" t="str">
        <x:v>https://www.nba.com/wizards/wizards-plan-second-round-pick-issuf-sanon</x:v>
      </x:c>
    </x:row>
    <x:row r="21">
      <x:c r="A21" s="84" t="str">
        <x:v>S17</x:v>
      </x:c>
      <x:c r="B21" s="84" t="str">
        <x:v>Nets — Rodions Kurucs scouting history</x:v>
      </x:c>
      <x:c r="C21" s="84" t="str">
        <x:v>Brooklyn's long-running Kurucs evaluation</x:v>
      </x:c>
      <x:c r="D21" s="84" t="str">
        <x:v>https://www.nba.com/nets/news/feature/2018/12/28/brooklyn-nets-rookie-rodions-kurucs-had-a-breakout-month-in-december</x:v>
      </x:c>
    </x:row>
    <x:row r="22">
      <x:c r="A22" s="84" t="str">
        <x:v>S18</x:v>
      </x:c>
      <x:c r="B22" s="84" t="str">
        <x:v>NBA — 2018 big-board tiers</x:v>
      </x:c>
      <x:c r="C22" s="84" t="str">
        <x:v>Spalding in drafted second-round tier; Welsh in the mix</x:v>
      </x:c>
      <x:c r="D22" s="84" t="str">
        <x:v>https://www.nba.com/da-big-board-bigs-2018-draft</x:v>
      </x:c>
    </x:row>
    <x:row r="23">
      <x:c r="A23" s="84" t="str">
        <x:v>S19</x:v>
      </x:c>
      <x:c r="B23" s="84" t="str">
        <x:v>Nuggets — Thomas Welsh two-way</x:v>
      </x:c>
      <x:c r="C23" s="84" t="str">
        <x:v>Actual Welsh occupied one Denver two-way slot</x:v>
      </x:c>
      <x:c r="D23" s="84" t="str">
        <x:v>https://www.nba.com/nuggets/news/thomas-welsh-signs-two-way-contract-071918</x:v>
      </x:c>
    </x:row>
    <x:row r="24">
      <x:c r="A24" s="84" t="str">
        <x:v>S20</x:v>
      </x:c>
      <x:c r="B24" s="84" t="str">
        <x:v>Basketball-Reference — Chimezie Metu</x:v>
      </x:c>
      <x:c r="C24" s="84" t="str">
        <x:v>2018-19 San Antonio: 29 games, 5.0 MPG (145 minutes)</x:v>
      </x:c>
      <x:c r="D24" s="84" t="str">
        <x:v>https://www.basketball-reference.com/players/m/metuch01.html</x:v>
      </x:c>
    </x:row>
    <x:row r="25">
      <x:c r="A25" s="84" t="str">
        <x:v>S21</x:v>
      </x:c>
      <x:c r="B25" s="84" t="str">
        <x:v>Pounding the Rock — Metu season review</x:v>
      </x:c>
      <x:c r="C25" s="84" t="str">
        <x:v>Most rookie NBA minutes came in garbage time; Austin was primary development venue</x:v>
      </x:c>
      <x:c r="D25" s="84" t="str">
        <x:v>https://www.poundingtherock.com/2019/5/4/18523491/2018-2019-spurs-player-reviews-chimezie-metu</x:v>
      </x:c>
    </x:row>
    <x:row r="26">
      <x:c r="A26" s="84" t="str">
        <x:v>S22</x:v>
      </x:c>
      <x:c r="B26" s="84" t="str">
        <x:v>RealGM — Chimezie Metu profile</x:v>
      </x:c>
      <x:c r="C26" s="84" t="str">
        <x:v>2018-19 NBA totals, Austin totals, and assignment/recall transaction log</x:v>
      </x:c>
      <x:c r="D26" s="84" t="str">
        <x:v>https://basketball.realgm.com/player/Chimezie-Metu/Summary/76976</x:v>
      </x:c>
    </x:row>
    <x:row r="27">
      <x:c r="A27" s="84" t="str">
        <x:v>S23</x:v>
      </x:c>
      <x:c r="B27" s="84" t="str">
        <x:v>Spurs — Metu signing</x:v>
      </x:c>
      <x:c r="C27" s="84" t="str">
        <x:v>Second-round pick signed to an NBA multi-year contract, not a two-way</x:v>
      </x:c>
      <x:c r="D27" s="84" t="str">
        <x:v>https://www.nba.com/spurs/news/spurs-sign-2018-second-round-pick-chimezie-metu</x:v>
      </x:c>
    </x:row>
    <x:row r="28">
      <x:c r="A28" s="84" t="str">
        <x:v>S24</x:v>
      </x:c>
      <x:c r="B28" s="84" t="str">
        <x:v>Fox San Antonio — Nov. 20 assignment</x:v>
      </x:c>
      <x:c r="C28" s="84" t="str">
        <x:v>Contemporary report identifies Metu's second Austin assignment and NBA baseline</x:v>
      </x:c>
      <x:c r="D28" s="84" t="str">
        <x:v>https://foxsanantonio.com/sports/max-sports/spurs-assign-rookie-metu-to-g-league</x:v>
      </x:c>
    </x:row>
    <x:row r="29">
      <x:c r="A29" s="84" t="str">
        <x:v>S25</x:v>
      </x:c>
      <x:c r="B29" s="84" t="str">
        <x:v>ESPN — 2019-03-06 Spurs at Atlanta</x:v>
      </x:c>
      <x:c r="C29" s="84" t="str">
        <x:v>Spurs 111-104; Metu DNP-Coach's Decision</x:v>
      </x:c>
      <x:c r="D29" s="84" t="str">
        <x:v>https://www.espn.com/nba/boxscore/_/gameId/401071641</x:v>
      </x:c>
    </x:row>
    <x:row r="30">
      <x:c r="A30" s="84" t="str">
        <x:v>S26</x:v>
      </x:c>
      <x:c r="B30" s="84" t="str">
        <x:v>NBA Hawks — 2019-04-02 Atlanta at Spurs</x:v>
      </x:c>
      <x:c r="C30" s="84" t="str">
        <x:v>Spurs 117-111; Metu recorded no minutes</x:v>
      </x:c>
      <x:c r="D30" s="84" t="str">
        <x:v>https://www.nba.com/hawks/game/0021801162-hawks-vs-spurs-san-antonio-tx-04-02-2019</x:v>
      </x:c>
    </x:row>
    <x:row r="31">
      <x:c r="A31" s="84" t="str">
        <x:v>S27</x:v>
      </x:c>
      <x:c r="B31" s="84" t="str">
        <x:v>Spurs — 2019 Metu Austin recap</x:v>
      </x:c>
      <x:c r="C31" s="84" t="str">
        <x:v>2018-19 Austin: 26 games, 14.0/7.4/2.3 in 27.3 MPG</x:v>
      </x:c>
      <x:c r="D31" s="84" t="str">
        <x:v>https://www.nba.com/spurs/news/san-antonio-assigns-chimezie-metu-austin-spurs-8</x:v>
      </x:c>
    </x:row>
    <x:row r="32">
      <x:c r="A32" s="84" t="str">
        <x:v>S28</x:v>
      </x:c>
      <x:c r="B32" s="84" t="str">
        <x:v>Mavericks — Spalding signing</x:v>
      </x:c>
      <x:c r="C32" s="84" t="str">
        <x:v>Dallas signed the actual #56 pick to a standard NBA contract</x:v>
      </x:c>
      <x:c r="D32" s="84" t="str">
        <x:v>https://www.nba.com/mavs/mavericks-sign-forward-ray-spalding</x:v>
      </x:c>
    </x:row>
    <x:row r="33">
      <x:c r="A33" s="84" t="str">
        <x:v>S29</x:v>
      </x:c>
      <x:c r="B33" s="84" t="str">
        <x:v>Mavericks — Porzingis trade and Spalding waiver</x:v>
      </x:c>
      <x:c r="C33" s="84" t="str">
        <x:v>Spalding appeared in one Dallas game and was waived in the Jan. 31 roster move</x:v>
      </x:c>
      <x:c r="D33" s="84" t="str">
        <x:v>https://www.nba.com/mavs/mavericks-acquire-all-star-kristaps-porzingis-tim-hardaway-jr-courtney-lee-and-trey-burke-in-trade-with-knicks</x:v>
      </x:c>
    </x:row>
    <x:row r="34">
      <x:c r="A34" s="84" t="str">
        <x:v>S30</x:v>
      </x:c>
      <x:c r="B34" s="84" t="str">
        <x:v>NBA G League — Ray Spalding</x:v>
      </x:c>
      <x:c r="C34" s="84" t="str">
        <x:v>2018-19 Texas: 29 games, 26 starts, 30.1 MPG</x:v>
      </x:c>
      <x:c r="D34" s="84" t="str">
        <x:v>https://gleague.nba.com/player/1629034/ray-spalding</x:v>
      </x:c>
    </x:row>
    <x:row r="35">
      <x:c r="A35" s="84" t="str">
        <x:v>S31</x:v>
      </x:c>
      <x:c r="B35" s="84" t="str">
        <x:v>Nuggets — Thomas Welsh two-way</x:v>
      </x:c>
      <x:c r="C35" s="84" t="str">
        <x:v>Denver signed the actual #58 pick to a two-way contract</x:v>
      </x:c>
      <x:c r="D35" s="84" t="str">
        <x:v>https://www.nba.com/nuggets/news/thomas-welsh-signs-two-way-contract-071918</x:v>
      </x:c>
    </x:row>
    <x:row r="36">
      <x:c r="A36" s="84" t="str">
        <x:v>S32</x:v>
      </x:c>
      <x:c r="B36" s="84" t="str">
        <x:v>Nuggets — 2018-19 two-way preview</x:v>
      </x:c>
      <x:c r="C36" s="84" t="str">
        <x:v>Welsh and Akoon-Purcell occupied Denver's two two-way positions</x:v>
      </x:c>
      <x:c r="D36" s="84" t="str">
        <x:v>https://www.nba.com/nuggets/news/1819-player-previews-akoon-purcell-welsh-091918</x:v>
      </x:c>
    </x:row>
    <x:row r="37">
      <x:c r="A37" s="84" t="str">
        <x:v>S33</x:v>
      </x:c>
      <x:c r="B37" s="84" t="str">
        <x:v>NBA G League — 2018 two-way rule</x:v>
      </x:c>
      <x:c r="C37" s="84" t="str">
        <x:v>2018-19 teams could carry two two-way players beyond the 15-man roster</x:v>
      </x:c>
      <x:c r="D37" s="84" t="str">
        <x:v>https://windycity.gleague.nba.com/news/bulls-sign-brandon-sampson-to-two-way-contract</x:v>
      </x:c>
    </x:row>
    <x:row r="38">
      <x:c r="A38" s="84" t="str">
        <x:v>S34</x:v>
      </x:c>
      <x:c r="B38" s="84" t="str">
        <x:v>Nuggets — Welsh 2018-19 recap</x:v>
      </x:c>
      <x:c r="C38" s="84" t="str">
        <x:v>Welsh played 11 NBA games and 36 minutes; G League was his primary venue</x:v>
      </x:c>
      <x:c r="D38" s="84" t="str">
        <x:v>https://www.nba.com/nuggets/news/denver-nuggets-thomas-welsh-excited-for-nba-summer-league-070219c</x:v>
      </x:c>
    </x:row>
    <x:row r="39">
      <x:c r="A39" s="84" t="str">
        <x:v>S35</x:v>
      </x:c>
      <x:c r="B39" s="84" t="str">
        <x:v>RealGM — Thomas Welsh profile</x:v>
      </x:c>
      <x:c r="C39" s="84" t="str">
        <x:v>Two-way transaction and 20-game G League allocation baseline</x:v>
      </x:c>
      <x:c r="D39" s="84" t="str">
        <x:v>https://basketball.realgm.com/player/Thomas-Welsh/Summary/64323</x:v>
      </x:c>
    </x:row>
    <x:row r="40">
      <x:c r="A40" s="84" t="str">
        <x:v>S36</x:v>
      </x:c>
      <x:c r="B40" s="84" t="str">
        <x:v>NBA — 2018-11-15 Atlanta at Denver</x:v>
      </x:c>
      <x:c r="C40" s="84" t="str">
        <x:v>Denver 138-93 official game baseline</x:v>
      </x:c>
      <x:c r="D40" s="84" t="str">
        <x:v>https://www.nba.com/game/atl-vs-den-0021800214</x:v>
      </x:c>
    </x:row>
    <x:row r="41">
      <x:c r="A41" s="84" t="str">
        <x:v>S37</x:v>
      </x:c>
      <x:c r="B41" s="84" t="str">
        <x:v>Basketball-Reference — 2018-11-15 box score</x:v>
      </x:c>
      <x:c r="C41" s="84" t="str">
        <x:v>Welsh did not play against Atlanta</x:v>
      </x:c>
      <x:c r="D41" s="84" t="str">
        <x:v>https://www.basketball-reference.com/boxscores/201811150DEN.html</x:v>
      </x:c>
    </x:row>
    <x:row r="42">
      <x:c r="A42" s="84" t="str">
        <x:v>S38</x:v>
      </x:c>
      <x:c r="B42" s="84" t="str">
        <x:v>NBA Hawks — 2018-12-08 Denver at Atlanta</x:v>
      </x:c>
      <x:c r="C42" s="84" t="str">
        <x:v>Atlanta 106-98 official game baseline</x:v>
      </x:c>
      <x:c r="D42" s="84" t="str">
        <x:v>https://www.nba.com/hawks/game/0021800380</x:v>
      </x:c>
    </x:row>
    <x:row r="43">
      <x:c r="A43" s="84" t="str">
        <x:v>S39</x:v>
      </x:c>
      <x:c r="B43" s="84" t="str">
        <x:v>Basketball-Reference — 2018-12-08 box score</x:v>
      </x:c>
      <x:c r="C43" s="84" t="str">
        <x:v>Welsh did not play against Atlanta</x:v>
      </x:c>
      <x:c r="D43" s="84" t="str">
        <x:v>https://www.basketball-reference.com/boxscores/201812080ATL.html</x:v>
      </x:c>
    </x:row>
    <x:row r="44">
      <x:c r="A44" s="84" t="str">
        <x:v>S40</x:v>
      </x:c>
      <x:c r="B44" s="84" t="str">
        <x:v>HoopsStats — Omari Spellman 2018-19 game log</x:v>
      </x:c>
      <x:c r="C44" s="84" t="str">
        <x:v>Exact 46 appearance dates and published tenths-of-a-minute donor vector; sums to 805.0</x:v>
      </x:c>
      <x:c r="D44" s="84" t="str">
        <x:v>https://www.hoopsstats.com/basketball/fantasy/nba/atlanta-hawks/players/omari-spellman/gamelog/19/1/16</x:v>
      </x:c>
    </x:row>
    <x:row r="45">
      <x:c r="A45" s="84" t="str">
        <x:v>S41</x:v>
      </x:c>
      <x:c r="B45" s="84" t="str">
        <x:v>RealGM — Omari Spellman profile</x:v>
      </x:c>
      <x:c r="C45" s="84" t="str">
        <x:v>46 games, 11 starts, 804.6 exact season minutes cross-check</x:v>
      </x:c>
      <x:c r="D45" s="84" t="str">
        <x:v>https://basketball.realgm.com/player/Omari-Spellman/Summary/74078</x:v>
      </x:c>
    </x:row>
    <x:row r="46">
      <x:c r="A46" s="84" t="str">
        <x:v>S42</x:v>
      </x:c>
      <x:c r="B46" s="84" t="str">
        <x:v>Peachtree Hoops — Spellman assigned to Erie</x:v>
      </x:c>
      <x:c r="C46" s="84" t="str">
        <x:v>Actual Dec. 30 assignment followed hip-injury absence and conditioning need; context only, not copied</x:v>
      </x:c>
      <x:c r="D46" s="84" t="str">
        <x:v>https://www.peachtreehoops.com/2018/12/30/18161520/omari-spellman-alex-poythress-atlanta-hawks-g-league-erie-bayhawks-assignment-transfer-roster</x:v>
      </x:c>
    </x:row>
    <x:row r="47">
      <x:c r="A47" s="84" t="str">
        <x:v>S43</x:v>
      </x:c>
      <x:c r="B47" s="84" t="str">
        <x:v>Basketball-Reference — Erie 2018-19 schedule</x:v>
      </x:c>
      <x:c r="C47" s="84" t="str">
        <x:v>Six real Erie games in the Dec. 7-22 development window</x:v>
      </x:c>
      <x:c r="D47" s="84" t="str">
        <x:v>https://www.basketball-reference.com/gleague/schedules/HAW/2019.html</x:v>
      </x:c>
    </x:row>
    <x:row r="48">
      <x:c r="A48" s="84" t="str">
        <x:v>S44</x:v>
      </x:c>
      <x:c r="B48" s="84" t="str">
        <x:v>ESPN — Atlanta 2018-19 schedule and box scores</x:v>
      </x:c>
      <x:c r="C48" s="84" t="str">
        <x:v>Same-date box-score listing, DNP-CD status, actual minutes, event IDs, and observed single-game maxima</x:v>
      </x:c>
      <x:c r="D48" s="84" t="str">
        <x:v>https://www.espn.com/nba/team/schedule/_/name/atl/season/2019</x:v>
      </x:c>
    </x:row>
    <x:row r="49">
      <x:c r="A49" s="84" t="str">
        <x:v>S45</x:v>
      </x:c>
      <x:c r="B49" s="84" t="str">
        <x:v>Atlanta Hawks — Justin Anderson 2018-19 review</x:v>
      </x:c>
      <x:c r="C49" s="84" t="str">
        <x:v>Anderson missed the first 16 games while rehabbing and returned for the Nov. 19 game</x:v>
      </x:c>
      <x:c r="D49" s="84" t="str">
        <x:v>https://www.nba.com/hawks/features/five-things-know-about-justin-andersons-2018-19-season</x:v>
      </x:c>
    </x:row>
    <x:row r="50">
      <x:c r="A50" s="84" t="str">
        <x:v>S46</x:v>
      </x:c>
      <x:c r="B50" s="84" t="str">
        <x:v>Atlanta Hawks — Alex Poythress 2018-19 review</x:v>
      </x:c>
      <x:c r="C50" s="84" t="str">
        <x:v>Poythress held a two-way development role with Atlanta and Erie</x:v>
      </x:c>
      <x:c r="D50" s="84" t="str">
        <x:v>https://www.nba.com/hawks/five-things-know-about-alex-poythress-2018-19-season</x:v>
      </x:c>
    </x:row>
    <x:row r="51">
      <x:c r="A51" s="84" t="str">
        <x:v>S47</x:v>
      </x:c>
      <x:c r="B51" s="84" t="str">
        <x:v>Basketball-Reference — Atlanta 2018-19 roster</x:v>
      </x:c>
      <x:c r="C51" s="84" t="str">
        <x:v>Roster totals and minutes cross-check</x:v>
      </x:c>
      <x:c r="D51" s="84" t="str">
        <x:v>https://www.basketball-reference.com/teams/ATL/2019.html</x:v>
      </x:c>
    </x:row>
    <x:row r="52">
      <x:c r="A52" s="84" t="str">
        <x:v>S48</x:v>
      </x:c>
      <x:c r="B52" s="84" t="str">
        <x:v>Basketball-Reference — 2018-19 per 36</x:v>
      </x:c>
      <x:c r="C52" s="84" t="str">
        <x:v>Season-level per-36 production inputs</x:v>
      </x:c>
      <x:c r="D52" s="84" t="str">
        <x:v>https://www.basketball-reference.com/leagues/NBA_2019_per_minute.html</x:v>
      </x:c>
    </x:row>
    <x:row r="53">
      <x:c r="A53" s="84" t="str">
        <x:v>S49</x:v>
      </x:c>
      <x:c r="B53" s="84" t="str">
        <x:v>Basketball-Reference — 2018-19 advanced</x:v>
      </x:c>
      <x:c r="C53" s="84" t="str">
        <x:v>Observed BPM/TS inputs before shrinkage</x:v>
      </x:c>
      <x:c r="D53" s="84" t="str">
        <x:v>https://www.basketball-reference.com/leagues/NBA_2019_advanced.html</x:v>
      </x:c>
    </x:row>
    <x:row r="54">
      <x:c r="A54" s="84" t="str">
        <x:v>S50</x:v>
      </x:c>
      <x:c r="B54" s="84" t="str">
        <x:v>Atlanta Hawks — Justin Anderson review</x:v>
      </x:c>
      <x:c r="C54" s="84" t="str">
        <x:v>48 games and first-16-games rehabilitation context</x:v>
      </x:c>
      <x:c r="D54" s="84" t="str">
        <x:v>https://www.nba.com/hawks/features/five-things-know-about-justin-andersons-2018-19-season</x:v>
      </x:c>
    </x:row>
    <x:row r="55">
      <x:c r="A55" s="84" t="str">
        <x:v>S51</x:v>
      </x:c>
      <x:c r="B55" s="84" t="str">
        <x:v>Atlanta Hawks — Alex Poythress review</x:v>
      </x:c>
      <x:c r="C55" s="84" t="str">
        <x:v>Atlanta/Erie development role context</x:v>
      </x:c>
      <x:c r="D55" s="84" t="str">
        <x:v>https://www.nba.com/hawks/five-things-know-about-alex-poythress-2018-19-season</x:v>
      </x:c>
    </x:row>
    <x:row r="56">
      <x:c r="A56" s="84" t="str">
        <x:v>S52</x:v>
      </x:c>
      <x:c r="B56" s="84" t="str">
        <x:v>Atlanta Hawks — Miles Plumlee review</x:v>
      </x:c>
      <x:c r="C56" s="84" t="str">
        <x:v>18 games and 173-minute small-sample context</x:v>
      </x:c>
      <x:c r="D56" s="84" t="str">
        <x:v>https://www.nba.com/hawks/features/five-things-know-about-miles-plumlees-2018-19-season</x:v>
      </x:c>
    </x:row>
    <x:row r="57">
      <x:c r="A57" s="84" t="str">
        <x:v>S53</x:v>
      </x:c>
      <x:c r="B57" s="84" t="str">
        <x:v>Atlanta Hawks — Daniel Hamilton waived</x:v>
      </x:c>
      <x:c r="C57" s="84" t="str">
        <x:v>Feb. 7 waiver and roster-availability boundary</x:v>
      </x:c>
      <x:c r="D57" s="84" t="str">
        <x:v>https://www.nba.com/hawks/atlanta-hawks-request-waivers-daniel-hamilton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0e6c6a7f172646c5"/>
  </x:tableParts>
</x:worksheet>
</file>